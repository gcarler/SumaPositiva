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as" sheetId="1" r:id="rId5"/>
    <sheet state="visible" name="Metas de convocatoria" sheetId="2" r:id="rId6"/>
    <sheet state="visible" name="Proyección ±500" sheetId="3" r:id="rId7"/>
    <sheet state="visible" name="Detalle por mesa" sheetId="4" r:id="rId8"/>
    <sheet state="visible" name="Cobertura de actores" sheetId="5" r:id="rId9"/>
    <sheet state="visible" name="Notas" sheetId="6" r:id="rId10"/>
  </sheets>
  <definedNames>
    <definedName hidden="1" localSheetId="3" name="_xlnm._FilterDatabase">'Detalle por mesa'!$A$1:$K$477</definedName>
    <definedName hidden="1" localSheetId="4" name="_xlnm._FilterDatabase">'Cobertura de actores'!$A$1:$G$110</definedName>
  </definedNames>
  <calcPr/>
</workbook>
</file>

<file path=xl/sharedStrings.xml><?xml version="1.0" encoding="utf-8"?>
<sst xmlns="http://schemas.openxmlformats.org/spreadsheetml/2006/main" count="6453" uniqueCount="615">
  <si>
    <t>MESAS DE TRABAJO POLITICA PÚBLICA DE SEGURIDAD HUMANA INTEGRAL</t>
  </si>
  <si>
    <t>Mesas</t>
  </si>
  <si>
    <t>Dirección</t>
  </si>
  <si>
    <t>Fecha</t>
  </si>
  <si>
    <t>Hora</t>
  </si>
  <si>
    <t>Dimensión principal (seguridad humana)</t>
  </si>
  <si>
    <t>Otras dimensiones</t>
  </si>
  <si>
    <t>Eje transversal Crisis (N° actores)</t>
  </si>
  <si>
    <t>Total actores</t>
  </si>
  <si>
    <t>Principales</t>
  </si>
  <si>
    <t>Secundarios</t>
  </si>
  <si>
    <t>Actores clave (principales)</t>
  </si>
  <si>
    <t>Meta de personas</t>
  </si>
  <si>
    <t>% de la meta total</t>
  </si>
  <si>
    <t>Meta máxima (+500)</t>
  </si>
  <si>
    <t>Mesas Territoriales</t>
  </si>
  <si>
    <t>Localidad Histórica y del Caribe Norte</t>
  </si>
  <si>
    <t>Clasificación</t>
  </si>
  <si>
    <t>Por definir</t>
  </si>
  <si>
    <t>Comunitaria</t>
  </si>
  <si>
    <t>Personal; Económica</t>
  </si>
  <si>
    <t>Mesa</t>
  </si>
  <si>
    <t>Código</t>
  </si>
  <si>
    <t>PROYECCIÓN DE CONVOCATORIA CON MARGEN DE ERROR (±500 PERSONAS)</t>
  </si>
  <si>
    <t>Actor / dependencia</t>
  </si>
  <si>
    <t>Tipo</t>
  </si>
  <si>
    <t>Sector</t>
  </si>
  <si>
    <t>Rol en la mesa</t>
  </si>
  <si>
    <t>Dimensión (condición) en la matriz</t>
  </si>
  <si>
    <t>Eje transversal Crisis</t>
  </si>
  <si>
    <t>Aporte en la matriz</t>
  </si>
  <si>
    <t>Criterio de asignación a la mesa</t>
  </si>
  <si>
    <t>Tres escenarios para las 35 mesas: mínimo (meta − margen), central (meta) y máximo (meta + margen). Se aplica el mismo método de la hoja "Metas de convocatoria" (piso por mesa + reparto por peso). Texto azul = dato editable; verde = vínculo a otra hoja; el resto se recalcula solo.</t>
  </si>
  <si>
    <t>Dependencia</t>
  </si>
  <si>
    <t>PARÁMETROS</t>
  </si>
  <si>
    <t>Alcaldías Locales 1, 2 y 3</t>
  </si>
  <si>
    <t>Territorial</t>
  </si>
  <si>
    <t>Público</t>
  </si>
  <si>
    <t>Principal</t>
  </si>
  <si>
    <t>Comunitaria (Principal); Personal (Secundario)</t>
  </si>
  <si>
    <t>Secundario</t>
  </si>
  <si>
    <t>Dependencia distrital ya registrada en la matriz.</t>
  </si>
  <si>
    <t>Valor</t>
  </si>
  <si>
    <t>Base territorial + Centro Histórico (nombre de la localidad / texto de la matriz) — validar</t>
  </si>
  <si>
    <t>Instituto Distrital de Acción Comunal (IDACC)</t>
  </si>
  <si>
    <t>Descentralizado</t>
  </si>
  <si>
    <t>Criterio</t>
  </si>
  <si>
    <t>Comunitaria (Principal); Política (Secundario)</t>
  </si>
  <si>
    <t>—</t>
  </si>
  <si>
    <t>Instituto de Patrimonio y Cultura de Cartagena (IPCC)</t>
  </si>
  <si>
    <t>Comunitaria (Principal); Económica (Secundario)</t>
  </si>
  <si>
    <t>Meta central de personas</t>
  </si>
  <si>
    <t>Secretaría de Participación y Desarrollo Social (SPD/UMATA)</t>
  </si>
  <si>
    <t>Secretaría</t>
  </si>
  <si>
    <t>Comunitaria (Principal); Económica (Secundario); Alimentaria (Secundario)</t>
  </si>
  <si>
    <t>COM-01</t>
  </si>
  <si>
    <t>Asociaciones de Juntas de Acción Comunal (ASOJAC)</t>
  </si>
  <si>
    <t>Comunitario</t>
  </si>
  <si>
    <t>Social</t>
  </si>
  <si>
    <t>Conocimiento del territorio, convocatoria comunitaria, priorización de problemas.</t>
  </si>
  <si>
    <t>PRI-03</t>
  </si>
  <si>
    <t>Asociación de Comerciantes del Centro Histórico</t>
  </si>
  <si>
    <t>Sector Privado</t>
  </si>
  <si>
    <t>Privado</t>
  </si>
  <si>
    <t>Económica (Secundario); Personal (Principal)</t>
  </si>
  <si>
    <t>Datos de hurto a comercios, extorsión, percepción de inseguridad.</t>
  </si>
  <si>
    <t>PRI-08</t>
  </si>
  <si>
    <t>Asociación de Dueños de Bares y Discotecas (Centro Histórico)</t>
  </si>
  <si>
    <t>Comunitaria (Secundario); Personal (Principal)</t>
  </si>
  <si>
    <t>Datos de seguridad en la economía nocturna, convivencia, violencia.</t>
  </si>
  <si>
    <t>COM-04</t>
  </si>
  <si>
    <t>Líderes sociales y comunitarios (barrios en vulnerabilidad)</t>
  </si>
  <si>
    <t>Comunitaria (Principal)</t>
  </si>
  <si>
    <t>Vínculo a la meta total de la hoja "Metas de convocatoria" (2.500, definida por el equipo).</t>
  </si>
  <si>
    <t>Conocimiento profundo del territorio, confianza comunitaria, identificación de riesgos.</t>
  </si>
  <si>
    <t>ACA-11</t>
  </si>
  <si>
    <t>Universidad de Bellas Artes</t>
  </si>
  <si>
    <t>METAS DE CONVOCATORIA POR MESA</t>
  </si>
  <si>
    <t>Alcaldías Locales 1, 2 y 3; Instituto Distrital de Acción Comunal (IDACC); Instituto de Patrimonio y Cultura de Cartagena (IPCC); Secretaría de Participación y Desarrollo Social (SPD/UMATA) (+5 más; ver hoja Detalle)</t>
  </si>
  <si>
    <t>Margen de error (personas)</t>
  </si>
  <si>
    <t>Definido por el equipo: ±500 personas sobre la meta central.</t>
  </si>
  <si>
    <t>Escenario mínimo</t>
  </si>
  <si>
    <t>Texto en azul = dato que se puede editar; celdas amarillas = cifra estimada o provisional por verificar. Todo lo demás se recalcula solo.</t>
  </si>
  <si>
    <t>Meta central menos el margen.</t>
  </si>
  <si>
    <t>Localidad De La Virgen y Turística</t>
  </si>
  <si>
    <t>Escenario máximo</t>
  </si>
  <si>
    <t>Económica; Personal</t>
  </si>
  <si>
    <t>Meta total de personas</t>
  </si>
  <si>
    <t>Meta central más el margen.</t>
  </si>
  <si>
    <t>Margen relativo</t>
  </si>
  <si>
    <t>Meta definida para el conjunto de las 35 mesas.</t>
  </si>
  <si>
    <t>Proporción del margen sobre la meta central; se aplica por igual a localidades, rurales y poblacionales.</t>
  </si>
  <si>
    <t>Factor escenario mínimo</t>
  </si>
  <si>
    <t>Multiplica las metas de bloque del escenario central.</t>
  </si>
  <si>
    <t>Factor escenario máximo</t>
  </si>
  <si>
    <t>Alcaldías Locales 1, 2 y 3; Instituto Distrital de Acción Comunal (IDACC); Secretaría de Participación y Desarrollo Social (SPD/UMATA); Secretaría de Turismo (+3 más; ver hoja Detalle)</t>
  </si>
  <si>
    <t>RESUMEN POR BLOQUE</t>
  </si>
  <si>
    <t>Localidad Industrial y de la Bahía</t>
  </si>
  <si>
    <t>Bloque</t>
  </si>
  <si>
    <t>N° de mesas</t>
  </si>
  <si>
    <t>Mínimo</t>
  </si>
  <si>
    <t>Central</t>
  </si>
  <si>
    <t>Máximo</t>
  </si>
  <si>
    <t>Diferencia mín.–máx.</t>
  </si>
  <si>
    <t>% del total (central)</t>
  </si>
  <si>
    <t>Regla de cálculo</t>
  </si>
  <si>
    <t>Meta Localidad Histórica y del Caribe Norte</t>
  </si>
  <si>
    <t>Definida: 350 personas por reunión de localidad.</t>
  </si>
  <si>
    <t>Académico</t>
  </si>
  <si>
    <t>Meta Localidad De La Virgen y Turística</t>
  </si>
  <si>
    <t>Investigación, datos, estudios de seguridad.</t>
  </si>
  <si>
    <t>Definida: 400 por su peso demográfico (36,2% de la población en el Censo 2018).</t>
  </si>
  <si>
    <t>Gerencia de Espacio Público y Movilidad (GEPM)</t>
  </si>
  <si>
    <t>Gerencia</t>
  </si>
  <si>
    <t>Comunitaria (Secundario); Económica (Principal); Personal (Secundario)</t>
  </si>
  <si>
    <t>Meta Localidad Industrial y de la Bahía</t>
  </si>
  <si>
    <t>Apoyo territorial</t>
  </si>
  <si>
    <t>Secretaría de Interior y Convivencia Ciudadana (SICC)</t>
  </si>
  <si>
    <t>Personal (Principal); Política (Secundario)</t>
  </si>
  <si>
    <t>PRI-02</t>
  </si>
  <si>
    <t>Asociación de Hoteles y Turismo de Cartagena (Cotelco)</t>
  </si>
  <si>
    <t>Económica (Principal); Personal (Secundario)</t>
  </si>
  <si>
    <t>Datos de impacto del turismo, seguridad en el sector turístico.</t>
  </si>
  <si>
    <t>PRI-05</t>
  </si>
  <si>
    <t>Alcaldías Locales 1, 2 y 3; Instituto Distrital de Acción Comunal (IDACC); Secretaría de Participación y Desarrollo Social (SPD/UMATA); Asociaciones de Juntas de Acción Comunal (ASOJAC) (+3 más; ver hoja Detalle)</t>
  </si>
  <si>
    <t>Asociación de Trabajadores Informales de Cartagena</t>
  </si>
  <si>
    <t>Subtotal localidades</t>
  </si>
  <si>
    <t>Cada localidad: meta central × factor, redondeada a múltiplo de 5.</t>
  </si>
  <si>
    <t>Comunitaria (Secundario); Económica (Principal)</t>
  </si>
  <si>
    <t>Datos de informalidad, vulnerabilidad, percepción de inseguridad.</t>
  </si>
  <si>
    <t>Mesas Rurales</t>
  </si>
  <si>
    <t>ACA-04</t>
  </si>
  <si>
    <t>Cartagena Cómo Vamos</t>
  </si>
  <si>
    <t>Comunitaria (Secundario); Económica (Principal); Política (Secundario)</t>
  </si>
  <si>
    <t>Datos de percepción, calidad de vida, indicadores sociales.</t>
  </si>
  <si>
    <t>INS-28</t>
  </si>
  <si>
    <t>Casa de Justicia</t>
  </si>
  <si>
    <t>Institucional</t>
  </si>
  <si>
    <t>Comunitaria (Secundario); Política (Principal)</t>
  </si>
  <si>
    <t>Datos sobre comisión de delitos y uso de mecanismos alternativos de solución de conflictos</t>
  </si>
  <si>
    <t>INS-09</t>
  </si>
  <si>
    <t>Comisarías de Familia</t>
  </si>
  <si>
    <t>Cifra fija; el resto se reparte entre las otras 32 mesas.</t>
  </si>
  <si>
    <t>Datos de violencia intrafamiliar, rutas de protección a NNA y mujeres.</t>
  </si>
  <si>
    <t>Boquilla</t>
  </si>
  <si>
    <t>INS-33</t>
  </si>
  <si>
    <t>Consejo Territorial de Planeación Distrital</t>
  </si>
  <si>
    <t>Bloque: mesas rurales (11)</t>
  </si>
  <si>
    <t>Instancia consultiva de planeación y concertación con grupos poblacionales.</t>
  </si>
  <si>
    <t>INS-08</t>
  </si>
  <si>
    <t>Personería Distrital</t>
  </si>
  <si>
    <t>Ambiental</t>
  </si>
  <si>
    <t>Propuesta: piso de 20 personas por corregimiento más el excedente según población. Equivale a 15% de la meta, por encima del 10,6% de población rural, para que los corregimientos pequeños tengan una reunión viable.</t>
  </si>
  <si>
    <t>Protección de derechos humanos, acceso a la justicia, casos de violencia</t>
  </si>
  <si>
    <t>FUE-06</t>
  </si>
  <si>
    <t>Policía Metropolitana de Cartagena</t>
  </si>
  <si>
    <t>Fuerza Pública</t>
  </si>
  <si>
    <t>Datos de delitos, operativos, mapas de criminalidad, inteligencia e informes sobre los diferentes tipos de violencia en un periodo de los últimos 5 años.</t>
  </si>
  <si>
    <t>Bloque: mesas poblacionales (9)</t>
  </si>
  <si>
    <t>Base territorial + vocación turística de la localidad — validar</t>
  </si>
  <si>
    <t>Propuesta: 24% de la meta; son grupos grandes y con alta superposición entre sí (por ejemplo, mujeres y víctimas).</t>
  </si>
  <si>
    <t>Bloque: mesas sectoriales (12)</t>
  </si>
  <si>
    <t>Secretaría de Turismo</t>
  </si>
  <si>
    <t>Es el saldo: meta total menos localidades, rurales y poblacionales.</t>
  </si>
  <si>
    <t>Piso mínimo por mesa rural</t>
  </si>
  <si>
    <t>Departamento Administrativo de Tránsito y Transporte (DATT)</t>
  </si>
  <si>
    <t>Propuesta: reunión comunitaria mínima viable.</t>
  </si>
  <si>
    <t>Piso mínimo por mesa poblacional</t>
  </si>
  <si>
    <t>Alcaldías Locales 1, 2 y 3; Instituto Distrital de Acción Comunal (IDACC); Secretaría de Participación y Desarrollo Social (SPD/UMATA); Asociaciones de Juntas de Acción Comunal (ASOJAC) (+1 más; ver hoja Detalle)</t>
  </si>
  <si>
    <t>Propuesta: evita que los grupos pequeños (LGTBI, discapacidad) queden con metas simbólicas.</t>
  </si>
  <si>
    <t>Piso mínimo por mesa sectorial</t>
  </si>
  <si>
    <t>Propuesta.</t>
  </si>
  <si>
    <t>PRI-04</t>
  </si>
  <si>
    <t>Asociación de Transportadores de Cartagena</t>
  </si>
  <si>
    <t>Datos de hurto en transporte, extorsión, seguridad vial.</t>
  </si>
  <si>
    <t>Exponente de ponderación: rurales</t>
  </si>
  <si>
    <t>1 = proporcional a la población; 0,5 = atenúa diferencias; 0 = todas iguales.</t>
  </si>
  <si>
    <t>Exponente de ponderación: poblacionales</t>
  </si>
  <si>
    <t>Arroyo de Piedra</t>
  </si>
  <si>
    <t>0,5 = raíz cuadrada de la población. Con 1, "mujeres" (524 mil) absorbería casi todo el bloque.</t>
  </si>
  <si>
    <t>Exponente de ponderación: sectoriales</t>
  </si>
  <si>
    <t>Los sectoriales convocan organizaciones, no residentes; se ponderan por el número de actores de la matriz.</t>
  </si>
  <si>
    <t>Población de Cartagena 2025 (proyección DANE)</t>
  </si>
  <si>
    <t>Base territorial + vocación industrial/portuaria de la localidad — validar</t>
  </si>
  <si>
    <t>Planeación Distrital con datos DANE (El Universal, ago. 2025).</t>
  </si>
  <si>
    <t>Población censada 2018 (DANE)</t>
  </si>
  <si>
    <t>Síntesis del Diagnóstico Territorial del POT, Planeación Distrital 2025.</t>
  </si>
  <si>
    <t>Población de Cartagena 2024 (proyección DANE)</t>
  </si>
  <si>
    <t>PRI-06</t>
  </si>
  <si>
    <t>Asociación Nacional de Industriales (ANDI)</t>
  </si>
  <si>
    <t>Económica (Principal)</t>
  </si>
  <si>
    <t>Datos de comercio, empresarios afectados por extorsión, desempleo.</t>
  </si>
  <si>
    <t>PRI-07</t>
  </si>
  <si>
    <t>Grandes empresas del sector portuario y logístico (Puerto de Cartagena, Sociedad Portuaria)</t>
  </si>
  <si>
    <t>Datos de economías legales, seguridad en zonas portuarias, empleo.</t>
  </si>
  <si>
    <t>MESAS TERRITORIALES</t>
  </si>
  <si>
    <t>Transcaribe S.A.</t>
  </si>
  <si>
    <t>Empresa / Educación</t>
  </si>
  <si>
    <t>Población aprox. (Censo 2018 × peso)</t>
  </si>
  <si>
    <t>Peso de la localidad (Censo 2018)</t>
  </si>
  <si>
    <t>Meta si fuera estrictamente proporcional (referencia)</t>
  </si>
  <si>
    <t>Meta / población</t>
  </si>
  <si>
    <t>Fuente y nota</t>
  </si>
  <si>
    <t>SOC-07</t>
  </si>
  <si>
    <t>Fundación Ecovida</t>
  </si>
  <si>
    <t>Sector Social</t>
  </si>
  <si>
    <t>Comunitaria (Secundario); Ambiental (Principal)</t>
  </si>
  <si>
    <t>Riesgos ambientales, desarrollo sostenible.</t>
  </si>
  <si>
    <t>Base rural: liderazgo territorial y riesgos ambientales (COM-14/15)</t>
  </si>
  <si>
    <t>COM-14</t>
  </si>
  <si>
    <t>Líderes de corregimientos (Pasacaballos, Bayunca, etc.)</t>
  </si>
  <si>
    <t>Comunitaria (Principal); Ambiental (Secundario)</t>
  </si>
  <si>
    <t>Visión rural, acceso a servicios, riesgos ambientales.</t>
  </si>
  <si>
    <t>CARDIQUE</t>
  </si>
  <si>
    <t>Ambiental (Principal)</t>
  </si>
  <si>
    <t>Apoyo ambiental / gestión del riesgo / seguridad marítima</t>
  </si>
  <si>
    <t>EPA Cartagena</t>
  </si>
  <si>
    <t>Meta fijada por el equipo. Pesos de la localidad: Síntesis del Diagnóstico Territorial del POT (Planeación Distrital 2025), Censo 2018.</t>
  </si>
  <si>
    <t>Oficina para la Gestión del Riesgo y Desastres (OAGRD)</t>
  </si>
  <si>
    <t>Oficina / Unidad asesora</t>
  </si>
  <si>
    <t>Subtotal Mesas Territoriales</t>
  </si>
  <si>
    <t>MESAS RURALES</t>
  </si>
  <si>
    <t>Bloque central × factor (múltiplo de 5); dentro del bloque, piso de 20 + reparto por población.</t>
  </si>
  <si>
    <t>Mesas Poblacionales</t>
  </si>
  <si>
    <t>Punta Canoa</t>
  </si>
  <si>
    <t>Bloque central × factor (múltiplo de 5); piso de 30 + reparto por raíz de la población.</t>
  </si>
  <si>
    <t>Mesas Sectoriales</t>
  </si>
  <si>
    <t>Saldo: escenario total menos los otros tres bloques; piso de 20 + reparto por raíz del n° de actores.</t>
  </si>
  <si>
    <t>Total</t>
  </si>
  <si>
    <t>Ambiental (Secundario)</t>
  </si>
  <si>
    <t>Secretaría de Infraestructura</t>
  </si>
  <si>
    <t>Ambiental (Principal); Salud y sanitaria (Secundario)</t>
  </si>
  <si>
    <t>Bayunca</t>
  </si>
  <si>
    <t>FUE-05</t>
  </si>
  <si>
    <t>Dirección General Marítima (DIMAR)</t>
  </si>
  <si>
    <t>Datos sobre seguridad marítima, riesgos costeros, movilidad marítima y protección del territorio marino-costero.</t>
  </si>
  <si>
    <t>Pasacaballos</t>
  </si>
  <si>
    <t>Población del corregimiento</t>
  </si>
  <si>
    <t>Calidad del dato</t>
  </si>
  <si>
    <t>Peso</t>
  </si>
  <si>
    <t>Meta calculada</t>
  </si>
  <si>
    <t>Oficial</t>
  </si>
  <si>
    <t>Debe coincidir con 2.000 / 2.500 / 3.000.</t>
  </si>
  <si>
    <t>PROYECCIÓN POR MESA</t>
  </si>
  <si>
    <t>Peso (hoja Metas)</t>
  </si>
  <si>
    <t>Nota</t>
  </si>
  <si>
    <t>Meta fija de la localidad × factor del escenario.</t>
  </si>
  <si>
    <t>Subtotal Territoriales</t>
  </si>
  <si>
    <t>COM-08</t>
  </si>
  <si>
    <t>Consejo Comunitario de la Comunidad Negra de Pasacaballos</t>
  </si>
  <si>
    <t>Visión étnica, territorial.</t>
  </si>
  <si>
    <t>Arroyo Grande</t>
  </si>
  <si>
    <t>Santa Ana</t>
  </si>
  <si>
    <t>COM-07</t>
  </si>
  <si>
    <t>Consejo Comunitario de la Comunidad Negra de la Isla de Barú</t>
  </si>
  <si>
    <t>Visión étnica, territorial, afectaciones específicas.</t>
  </si>
  <si>
    <t>COM-15</t>
  </si>
  <si>
    <t>Líderes de Islas (Tierra Bomba, Barú, etc)</t>
  </si>
  <si>
    <t>Visión insular, acceso a servicios, riesgos ambientales.</t>
  </si>
  <si>
    <t>INS-30</t>
  </si>
  <si>
    <t>Defensa Civil - Seccional Bolívar</t>
  </si>
  <si>
    <t>Datos sobre principales hechos de inseguridad damnificados, zonas de riesgo y principales emergencias atendidas (bajo qué factores).</t>
  </si>
  <si>
    <t>FUE-01</t>
  </si>
  <si>
    <t>Infantería de Marina (Armada Nacional)</t>
  </si>
  <si>
    <t>Personal (Principal)</t>
  </si>
  <si>
    <t>Datos respecto de microtráfico, extorsión, tráfico de migrantes y seguridad marítima.</t>
  </si>
  <si>
    <t>Tierra bomba</t>
  </si>
  <si>
    <t>Alcaldías Locales 1, 2 y 3; Instituto Distrital de Acción Comunal (IDACC); Secretaría de Participación y Desarrollo Social (SPD/UMATA); Asociaciones de Juntas de Acción Comunal (ASOJAC) (+2 más; ver hoja Detalle)</t>
  </si>
  <si>
    <t>POT, Documento resumen (seguimientopot.cartagena.gov.co); la fuente no indica el año de la cifra.</t>
  </si>
  <si>
    <t>Estimación</t>
  </si>
  <si>
    <t>Bocachica</t>
  </si>
  <si>
    <t>Estimación: 8.107 mujeres en Bayunca (Censo 2018, Planeación Distrital) ÷ 51,8% de mujeres. Verificar. Esta fila absorbe el redondeo para que el bloque cuadre.</t>
  </si>
  <si>
    <t>Provisional</t>
  </si>
  <si>
    <t>Provisional: no hallé cifra oficial; se asumió similar a Bocachica (misma isla). Reemplazar con el dato de Planeación.</t>
  </si>
  <si>
    <t>Isla del Rosario</t>
  </si>
  <si>
    <t>Isla Fuerte</t>
  </si>
  <si>
    <t>Subtotal Mesas Rurales</t>
  </si>
  <si>
    <t>MESAS POBLACIONALES</t>
  </si>
  <si>
    <t>Población de referencia</t>
  </si>
  <si>
    <t>Dato de base</t>
  </si>
  <si>
    <t>Adulto mayor</t>
  </si>
  <si>
    <t>Adultos mayores: 14,0% de la población 2025</t>
  </si>
  <si>
    <t>DANE, proyección 2025 (telencuestas.com).</t>
  </si>
  <si>
    <t>Infancia</t>
  </si>
  <si>
    <t>Menores de 12 años: 19,0% de la población 2025</t>
  </si>
  <si>
    <t>Piso + reparto proporcional al peso.</t>
  </si>
  <si>
    <t>LGTBI</t>
  </si>
  <si>
    <t>1% de los habitantes se identifica como LGBTIQ+ (ENCV 2023)</t>
  </si>
  <si>
    <t>DANE ENCV 2023, citada en la Síntesis del Diagnóstico del POT 2025. Dato de autorreconocimiento: probable subestimación.</t>
  </si>
  <si>
    <t>Discapacidad</t>
  </si>
  <si>
    <t>Personas con discapacidad, Censo 2018 (2,2%)</t>
  </si>
  <si>
    <t>DANE Censo 2018, citado en la Síntesis del POT 2025. El RLCPD certificó 23.570 entre 2002 y 2020.</t>
  </si>
  <si>
    <t>Juventud</t>
  </si>
  <si>
    <t>24,7 jóvenes por cada 100 habitantes (2024)</t>
  </si>
  <si>
    <t>Síntesis del Diagnóstico del POT 2025 (índice de juventud).</t>
  </si>
  <si>
    <t>Mujeres</t>
  </si>
  <si>
    <t>Mujeres 2025 (51,8% de la población)</t>
  </si>
  <si>
    <t>DANE, proyección 2025 (telencuestas.com). Esta fila absorbe el redondeo para que el bloque cuadre.</t>
  </si>
  <si>
    <t>Victimas</t>
  </si>
  <si>
    <t>Víctimas con última ubicación conocida en Cartagena, fines de 2024</t>
  </si>
  <si>
    <t>Unidad para las Víctimas, citada en la Síntesis del POT 2025.</t>
  </si>
  <si>
    <t>Étnica</t>
  </si>
  <si>
    <t>NARP 28,6% (ENCV 2023) más 1.300 indígenas (Censo 2018)</t>
  </si>
  <si>
    <t>Instituto Distrital de Deporte y Recreación (IDER)</t>
  </si>
  <si>
    <t>Comunitaria (Principal); Salud y sanitaria (Secundario)</t>
  </si>
  <si>
    <t>Por temática de la mesa (aporte declarado en la matriz)</t>
  </si>
  <si>
    <t>DANE, citado en la Síntesis del POT 2025. El Censo 2018 contó solo 179.901 personas NARP (subregistro).</t>
  </si>
  <si>
    <t>COM-11</t>
  </si>
  <si>
    <t>Asociación de Adultos Mayores de Cartagena</t>
  </si>
  <si>
    <t>Visión de envejecimiento, maltrato, aislamiento.</t>
  </si>
  <si>
    <t>Articulación / apoyo declarado en la matriz</t>
  </si>
  <si>
    <t>Migrantes y refugiados (nueva)</t>
  </si>
  <si>
    <t>Población venezolana residente, 2024 (6,5%)</t>
  </si>
  <si>
    <t>Migración Colombia 2024, citada en la Síntesis del POT 2025.</t>
  </si>
  <si>
    <t>Subtotal Mesas Poblacionales</t>
  </si>
  <si>
    <t>Departamento Administrativo Distrital de Salud (DADIS)</t>
  </si>
  <si>
    <t>Alimentaria (Secundario); Salud y sanitaria (Principal)</t>
  </si>
  <si>
    <t>MESAS SECTORIALES</t>
  </si>
  <si>
    <t>Secretaría de Educación Distrital (SED)</t>
  </si>
  <si>
    <t>Comunitaria (Secundario); Alimentaria (Principal)</t>
  </si>
  <si>
    <t>SOC-01</t>
  </si>
  <si>
    <t>Fundación Renacer</t>
  </si>
  <si>
    <t>Datos de protección de NNA, trata, explotación sexual.</t>
  </si>
  <si>
    <t>INS-20</t>
  </si>
  <si>
    <t>ICBF - Centro Zonal Cartagena</t>
  </si>
  <si>
    <t>Comunitaria (Secundario); Personal (Principal); Alimentaria (Secundario)</t>
  </si>
  <si>
    <t>Actores de la matriz</t>
  </si>
  <si>
    <t>Datos de NNA, violencia, maltrato, explotación, restablecimiento de derechos, además de georeferenciación de las comunidades que requieren mayor protección dentro de la ciudad.</t>
  </si>
  <si>
    <t>Cultura</t>
  </si>
  <si>
    <t>Fila de ajuste: absorbe el redondeo para que el bloque cuadre.</t>
  </si>
  <si>
    <t>COM-09</t>
  </si>
  <si>
    <t>Organización derecho a resistir</t>
  </si>
  <si>
    <t>Visión de diversidad sexual, violencia por racismo.</t>
  </si>
  <si>
    <t>INS-19</t>
  </si>
  <si>
    <t>Defensoría del Pueblo (Regional Bolívar)</t>
  </si>
  <si>
    <t>Política (Principal)</t>
  </si>
  <si>
    <t>Datos sobre vulneraciones de derechos humanos, riesgos y amenazas a la población, desplazamiento, confinamiento, reclutamiento de NNA, violencia basada en género, afectaciones a líderes sociales y comunidades étnicas, así como Alertas Tempranas y conflictos territoriales.</t>
  </si>
  <si>
    <t>Actores principales y secundarios en la hoja Detalle</t>
  </si>
  <si>
    <t>COM-12</t>
  </si>
  <si>
    <t>Asociación de Personas con Discapacidad de Cartagena</t>
  </si>
  <si>
    <t>Visión de discapacidad, barreras de acceso.</t>
  </si>
  <si>
    <t>Escuela de Gobierno y Liderazgo</t>
  </si>
  <si>
    <t>SOC-05</t>
  </si>
  <si>
    <t>Corporación Jóvenes por la Paz</t>
  </si>
  <si>
    <t>Prevención de violencias juveniles, oportunidades.</t>
  </si>
  <si>
    <t>COM-06</t>
  </si>
  <si>
    <t>Plataforma de Juventudes de Cartagena</t>
  </si>
  <si>
    <t>Comunitaria (Principal); Económica (Secundario); Personal (Secundario)</t>
  </si>
  <si>
    <t>Visión juvenil, prevención de violencias, oportunidades.</t>
  </si>
  <si>
    <t>SOC-06</t>
  </si>
  <si>
    <t>Red de Jóvenes Afrodescendientes de Cartagena</t>
  </si>
  <si>
    <t>Visión étnica, discriminación, violencias específicas.</t>
  </si>
  <si>
    <t>Escuela Taller de Cartagena de Indias (ETCAR)</t>
  </si>
  <si>
    <t>Institución Universitaria Mayor de Cartagena (Colmayor)</t>
  </si>
  <si>
    <t>Los sectoriales convocan organizaciones; el peso es el número de actores identificados en la matriz.</t>
  </si>
  <si>
    <t>INS-21</t>
  </si>
  <si>
    <t>SENA - Regional Bolívar</t>
  </si>
  <si>
    <t>Programas de formación, empleo juvenil, emprendimiento.</t>
  </si>
  <si>
    <t>COM-17</t>
  </si>
  <si>
    <t>Casa de la Mujer (violeta)</t>
  </si>
  <si>
    <t>Suministra información sobre violencias de género y en el marco del conflicto</t>
  </si>
  <si>
    <t>SOC-04</t>
  </si>
  <si>
    <t>Corporación Mujeres Tejiendo Paz</t>
  </si>
  <si>
    <t>Violencia de género, empoderamiento femenino.</t>
  </si>
  <si>
    <t>COM-16</t>
  </si>
  <si>
    <t>Cárcel de Mujeres</t>
  </si>
  <si>
    <t>Suministra información sobre vulnerabilidades y violencia de género en el centro carcelario</t>
  </si>
  <si>
    <t>COM-05</t>
  </si>
  <si>
    <t>Red de Mujeres de Cartagena</t>
  </si>
  <si>
    <t>Visión de género, violencia contra la mujer, liderazgo comunitario.</t>
  </si>
  <si>
    <t>INS-16</t>
  </si>
  <si>
    <t>Instituto Nacional de Medicina Legal (Regional Bolívar)</t>
  </si>
  <si>
    <t>Personal (Principal); Salud y sanitaria (Secundario)</t>
  </si>
  <si>
    <t>Datos de variables sociodemográficas, temporales, espaciales y relacionadas con las circunstancias de las lesiones de causa externa.</t>
  </si>
  <si>
    <t>INS-27</t>
  </si>
  <si>
    <t>Rama Judicial - Juzgados de Cartagena</t>
  </si>
  <si>
    <t>Personal (Secundario); Política (Principal)</t>
  </si>
  <si>
    <t>Datos sobre acceso a la justicia, tiempos de respuesta institucional, número de procesos judiciales relacionados con delitos violentos, casos de violencia basada en género, casos de violencia hacia NNA.</t>
  </si>
  <si>
    <t>SOC-02</t>
  </si>
  <si>
    <t>Fundación Juan Luis Londoño</t>
  </si>
  <si>
    <t>Derechos humanos, defensa de víctimas, acceso a justicia.</t>
  </si>
  <si>
    <t>COM-13</t>
  </si>
  <si>
    <t>Mesa de Víctimas de Cartagena</t>
  </si>
  <si>
    <t>Visión de víctimas, reparación, revictimización.</t>
  </si>
  <si>
    <t>INS-22</t>
  </si>
  <si>
    <t>Unidad Nacional de Protección- UNP</t>
  </si>
  <si>
    <t>Comunitaria (Secundario); Personal (Secundario); Política (Principal)</t>
  </si>
  <si>
    <t>Datos acerca de las personas y colectivos en situación de riesgo en Cartagena, violencia más común en casos de personas que solicitan protección.</t>
  </si>
  <si>
    <t>Deporte</t>
  </si>
  <si>
    <t>Salud</t>
  </si>
  <si>
    <t>Educacion</t>
  </si>
  <si>
    <t>Movilidad y Espacio Público</t>
  </si>
  <si>
    <t>Servicios públicos, infraestructura y vivienda</t>
  </si>
  <si>
    <t>Seguridad y Convivencia Ciudadana</t>
  </si>
  <si>
    <t>COO-02</t>
  </si>
  <si>
    <t>ACNUR - Agencia de la ONU para los Refugiados</t>
  </si>
  <si>
    <t>Cooperación Internacional</t>
  </si>
  <si>
    <t>Protección de refugiados, desplazamiento, derechos.</t>
  </si>
  <si>
    <t>INS-31</t>
  </si>
  <si>
    <t>Cruz Roja Colombiana - Seccional Bolívar</t>
  </si>
  <si>
    <t>Salud y sanitaria (Secundario)</t>
  </si>
  <si>
    <t>Datos acerca de la atención a víctimas, salud mental (atención de personas en riesgo).</t>
  </si>
  <si>
    <t>Los sectoriales convocan organizaciones; el peso es el número de actores identificados en la matriz. Esta fila absorbe el redondeo para que el bloque cuadre.</t>
  </si>
  <si>
    <t>Medio ambiente, Gestión del riesgo y Planeación</t>
  </si>
  <si>
    <t>Desarrollo económico, Turismo / Competitividad , ciencia y tecnología</t>
  </si>
  <si>
    <t>COM-10</t>
  </si>
  <si>
    <t>Asociación de Venezolanos en Cartagena (AVEC)</t>
  </si>
  <si>
    <t>Personal</t>
  </si>
  <si>
    <t>Visión migrante, trata, explotación, estigmatización.</t>
  </si>
  <si>
    <t>SOC-03</t>
  </si>
  <si>
    <t>Fundación Colombia Somos Todos</t>
  </si>
  <si>
    <t>Transparencia y Cultura Ciudadana</t>
  </si>
  <si>
    <t>Protección de migrantes, asistencia humanitaria.</t>
  </si>
  <si>
    <t>INS-18</t>
  </si>
  <si>
    <t>Migración Colombia (Regional Bolívar)</t>
  </si>
  <si>
    <t>Datos de población migrante, regularización, trata de personas.</t>
  </si>
  <si>
    <t>COO-01</t>
  </si>
  <si>
    <t>OIM - Organización Internacional para las Migraciones</t>
  </si>
  <si>
    <t>Datos de migración, trata, explotación, asistencia técnica.</t>
  </si>
  <si>
    <t>Mesa de Construcción de Paz</t>
  </si>
  <si>
    <t>Seguridad alimentaria (nueva)</t>
  </si>
  <si>
    <t>Subtotal Mesas Sectoriales</t>
  </si>
  <si>
    <t>Instituto Distrital de Deporte y Recreación (IDER); Secretaría de Participación y Desarrollo Social (SPD/UMATA); Asociación de Adultos Mayores de Cartagena</t>
  </si>
  <si>
    <t>TOTAL DE PERSONAS (35 mesas)</t>
  </si>
  <si>
    <t>Dimensión Salud y sanitaria completa (condición según la matriz)</t>
  </si>
  <si>
    <t>ACA-09</t>
  </si>
  <si>
    <t>Diferencia frente a la meta (debe ser 0)</t>
  </si>
  <si>
    <t>Universidad del Sinú</t>
  </si>
  <si>
    <t>Salud y sanitaria (Principal)</t>
  </si>
  <si>
    <t>Alimentaria; Comunitaria</t>
  </si>
  <si>
    <t>ACA-02</t>
  </si>
  <si>
    <t>Tecnológico Comfenalco</t>
  </si>
  <si>
    <t>ACA-12</t>
  </si>
  <si>
    <t>Secretaría de Educación Distrital (SED); Comisarías de Familia; Fundación Renacer; ICBF - Centro Zonal Cartagena</t>
  </si>
  <si>
    <t>Unitecnar – Fundación Universitaria Antonio de Arévalo</t>
  </si>
  <si>
    <t>ACA-03</t>
  </si>
  <si>
    <t>Corporación Universitaria Rafael Nuñez</t>
  </si>
  <si>
    <t>Investigación social, enfoque comunitario.</t>
  </si>
  <si>
    <t>ACA-17</t>
  </si>
  <si>
    <t>Corporación Universitaria Regional del Caribe (IAFIC)</t>
  </si>
  <si>
    <t>Personal; Política</t>
  </si>
  <si>
    <t>ACA-15</t>
  </si>
  <si>
    <t>ELYON YIREH</t>
  </si>
  <si>
    <t>ACA-16</t>
  </si>
  <si>
    <t>Unicolombo – Fundación Universitaria Colombo Internacional</t>
  </si>
  <si>
    <t>ACA-13</t>
  </si>
  <si>
    <t>Universidad Autónoma de Nariño – AUNAR</t>
  </si>
  <si>
    <t>ACA-07</t>
  </si>
  <si>
    <t>Universidad San Buenaventura</t>
  </si>
  <si>
    <t>ACA-06</t>
  </si>
  <si>
    <t>Universidad Tecnológica de Bolívar</t>
  </si>
  <si>
    <t>ACA-01</t>
  </si>
  <si>
    <t>Universidad de Cartagena (Entidad ejecutora)</t>
  </si>
  <si>
    <t>Conocimiento académico, investigación, metodología.</t>
  </si>
  <si>
    <t>Secretaría de Participación y Desarrollo Social (SPD/UMATA); Organización derecho a resistir</t>
  </si>
  <si>
    <t>Política</t>
  </si>
  <si>
    <t>Corvivienda</t>
  </si>
  <si>
    <t>Económica (Principal); Ambiental (Principal)</t>
  </si>
  <si>
    <t>Secretaría General (Oficina de Servicios Públicos - Oficina Asesora Informática)</t>
  </si>
  <si>
    <t>Secretaría de Hacienda Distrital</t>
  </si>
  <si>
    <t>Económica (Principal); Política (Secundario)</t>
  </si>
  <si>
    <t>ACA-14</t>
  </si>
  <si>
    <t>Universidad de Ciencias Aplicadas y Ambientales – UDCA</t>
  </si>
  <si>
    <t>Dimensión Personal completa (condición según la matriz)</t>
  </si>
  <si>
    <t>Distriseguridad</t>
  </si>
  <si>
    <t>FUE-07</t>
  </si>
  <si>
    <t>Cuerpo Técnico de Investigación (CTI)</t>
  </si>
  <si>
    <t>Datos acerca de formas de criminalidad, zonas rojas, delitos cometidos, tipos y frecuencia de los delitos cometidos y actividad de estructuras criminales.</t>
  </si>
  <si>
    <t>FUE-04</t>
  </si>
  <si>
    <t>Dirección de Investigación Criminal e INTERPOL (DIJIN)</t>
  </si>
  <si>
    <t>Datos sobre delitos de crimen organizado, terrorismo, narcotráfico, lavado de activos, trata de personas y otras manifestaciones de delincuencia organizada.</t>
  </si>
  <si>
    <t>FUE-03</t>
  </si>
  <si>
    <t>Grupo de Acción Unificada por la Libertad Personal (GAULA)</t>
  </si>
  <si>
    <t>Datos de casos y modalidades de extorsión y secuestro, acciones de prevención y orientación a la comunidad.</t>
  </si>
  <si>
    <t>Instituto Distrital de Deporte y Recreación (IDER); Secretaría de Participación y Desarrollo Social (SPD/UMATA); Asociación de Personas con Discapacidad de Cartagena</t>
  </si>
  <si>
    <t>FUE-02</t>
  </si>
  <si>
    <t>Policía Judicial (SIJIN)</t>
  </si>
  <si>
    <t>Información técnica y territorial sobre la criminalidad, qué delitos ocurren, dónde se concentran, cómo operan las estructuras delincuenciales y cuáles son las principales dinámicas de riesgo.</t>
  </si>
  <si>
    <t>Cuerpo Oficial de Bomberos</t>
  </si>
  <si>
    <t>Personal (Secundario)</t>
  </si>
  <si>
    <t>Complemento: Casa de Justicia (mecanismos alternativos de solución de conflictos)</t>
  </si>
  <si>
    <t>FUE-08</t>
  </si>
  <si>
    <t>Fiscalía General de la Nación (Seccional Bolívar)</t>
  </si>
  <si>
    <t>Datos de comportamiento de los delitos, georeferenciación de la criminalidad, estructuras y dinámicas criminales, acceso a la justicia y respuesta institucional, reincidencia.</t>
  </si>
  <si>
    <t>ACA-05</t>
  </si>
  <si>
    <t>Fundación Ideas para la Paz (FIP)</t>
  </si>
  <si>
    <t>Análisis de conflictividad, economías ilegales, violencia.</t>
  </si>
  <si>
    <t>Dimensión Ambiental completa (condición según la matriz)</t>
  </si>
  <si>
    <t>Eje transversal Crisis (gestión del riesgo), incluido por el nombre de la mesa; condición según la matriz</t>
  </si>
  <si>
    <t>Secretaría de Planeación Distrital</t>
  </si>
  <si>
    <t>Componente de Planeación (Planeación Distrital y Consejo Territorial de Planeación)</t>
  </si>
  <si>
    <t>Escuela de Gobierno y Liderazgo; Instituto Distrital de Deporte y Recreación (IDER); Corporación Jóvenes por la Paz; Plataforma de Juventudes de Cartagena (+1 más; ver hoja Detalle)</t>
  </si>
  <si>
    <t>INS-24</t>
  </si>
  <si>
    <t>Dimensiones (condición)</t>
  </si>
  <si>
    <t>N° de mesas donde participa</t>
  </si>
  <si>
    <t>Estado</t>
  </si>
  <si>
    <t>Secretaría de Participación y Desarrollo Social (SPD/UMATA); Casa de la Mujer (violeta); Comisarías de Familia; Corporación Mujeres Tejiendo Paz (+2 más; ver hoja Detalle)</t>
  </si>
  <si>
    <t>Comunitaria; Personal</t>
  </si>
  <si>
    <t>Defensoría del Pueblo (Regional Bolívar); Fundación Juan Luis Londoño; Mesa de Víctimas de Cartagena; Personería Distrital (+1 más; ver hoja Detalle)</t>
  </si>
  <si>
    <t>Guardia Ambiental de Colombia</t>
  </si>
  <si>
    <t>Datos sobre calidad del agua, saneamiento, riesgos ambientales, zonas de deforestación, deslizamiento y riesgo de inundación.</t>
  </si>
  <si>
    <t>ACA-18</t>
  </si>
  <si>
    <t>Universidad Jorge Tadeo Lozano – Seccional Caribe</t>
  </si>
  <si>
    <t>INS-17</t>
  </si>
  <si>
    <t>DANE - Dirección de Censos y Demografía</t>
  </si>
  <si>
    <t>Informe de datos de pobreza, desempleo, población, indicadores sociales.</t>
  </si>
  <si>
    <t>Insumo de datos para la planeación (DANE)</t>
  </si>
  <si>
    <t>Subtotal Rurales</t>
  </si>
  <si>
    <t>Consejo Comunitario de la Comunidad Negra de Pasacaballos; Consejo Comunitario de la Comunidad Negra de la Isla de Barú; Red de Jóvenes Afrodescendientes de Cartagena</t>
  </si>
  <si>
    <t>Política; Comunitaria</t>
  </si>
  <si>
    <t>Plan de Emergencia Social (PES-PR)</t>
  </si>
  <si>
    <t>Económica (Principal); Alimentaria (Secundario)</t>
  </si>
  <si>
    <t>ACNUR - Agencia de la ONU para los Refugiados; Asociación de Venezolanos en Cartagena (AVEC); Fundación Colombia Somos Todos; Migración Colombia (Regional Bolívar) (+1 más; ver hoja Detalle)</t>
  </si>
  <si>
    <t>Económica</t>
  </si>
  <si>
    <t>Escuela Taller de Cartagena de Indias (ETCAR); Instituto de Patrimonio y Cultura de Cartagena (IPCC); Universidad de Bellas Artes</t>
  </si>
  <si>
    <t>Salud y sanitaria</t>
  </si>
  <si>
    <t>Dimensión Económica completa (condición según la matriz)</t>
  </si>
  <si>
    <t>COO-04</t>
  </si>
  <si>
    <t>AECID- Centro de Formación de la Cooperación Española</t>
  </si>
  <si>
    <t>Financiación y asistencia técnica en seguridad y desarrollo.</t>
  </si>
  <si>
    <t>PRI-01</t>
  </si>
  <si>
    <t>Cámara de Comercio de Cartagena</t>
  </si>
  <si>
    <t>INS-23</t>
  </si>
  <si>
    <t>Inspección de Trabajo</t>
  </si>
  <si>
    <t>Datos sobre explotación laboral, discriminación, acoso, informalidad y condiciones inseguras de trabajo.</t>
  </si>
  <si>
    <t>COO-03</t>
  </si>
  <si>
    <t>PNUD - Programa de las Naciones Unidas para el Desarrollo</t>
  </si>
  <si>
    <t>Económica (Secundario); Política (Principal)</t>
  </si>
  <si>
    <t>Asistencia técnica en políticas públicas, indicadores de desarrollo.</t>
  </si>
  <si>
    <t>Dimensión Política completa (condición según la matriz)</t>
  </si>
  <si>
    <t>MED-02</t>
  </si>
  <si>
    <t>Caracol Radio - Cartagena</t>
  </si>
  <si>
    <t>Medios De Comunicación</t>
  </si>
  <si>
    <t>Visibilidad, difusión de resultados.</t>
  </si>
  <si>
    <t>Departamento Administrativo Distrital de Salud (DADIS); Universidad del Sinú</t>
  </si>
  <si>
    <t>ACA-08</t>
  </si>
  <si>
    <t>Universidad Libre</t>
  </si>
  <si>
    <t>INS-26</t>
  </si>
  <si>
    <t>Contraloría Distrital de Cartagena</t>
  </si>
  <si>
    <t>Control fiscal a la inversión en seguridad y principales alarmas y alertas que hay respecto de la administración de recursos en cada entidad, y programas.</t>
  </si>
  <si>
    <t>MED-04</t>
  </si>
  <si>
    <t>El Bolivarense</t>
  </si>
  <si>
    <t>MED-01</t>
  </si>
  <si>
    <t>El Universal (Cartagena)</t>
  </si>
  <si>
    <t>Escuela Taller de Cartagena de Indias (ETCAR); Institución Universitaria Mayor de Cartagena (Colmayor); Secretaría de Educación Distrital (SED); SENA - Regional Bolívar (+2 más; ver hoja Detalle)</t>
  </si>
  <si>
    <t>FUE-09</t>
  </si>
  <si>
    <t>Instituto Nacional Penitenciario y Carcelario (INPEC)</t>
  </si>
  <si>
    <t>Datos acerca de la reincidencia de la población privada de la libertad y estrategias de reinserción social.</t>
  </si>
  <si>
    <t>INS-25</t>
  </si>
  <si>
    <t>Procuraduría Regional de Bolívar</t>
  </si>
  <si>
    <t>Datos sobre fallas institucionales, riesgos de corrupción y seguimiento a políticas.</t>
  </si>
  <si>
    <t>MED-03</t>
  </si>
  <si>
    <t>RCN Radio - Cartagena</t>
  </si>
  <si>
    <t>COO-05</t>
  </si>
  <si>
    <t>Unión Europea (Delegación en Colombia)</t>
  </si>
  <si>
    <t>Financiación y asistencia técnica en seguridad y derechos humanos.</t>
  </si>
  <si>
    <t>Departamento Administrativo de Tránsito y Transporte (DATT); Gerencia de Espacio Público y Movilidad (GEPM); Transcaribe S.A.; Asociación de Trabajadores Informales de Cartagena (+1 más; ver hoja Detalle)</t>
  </si>
  <si>
    <t>Económica; Comunitaria</t>
  </si>
  <si>
    <t>Corvivienda; Secretaría General (Oficina de Servicios Públicos - Oficina Asesora Informática); Secretaría de Infraestructura; Líderes de Islas (Tierra Bomba, Barú, etc) (+1 más; ver hoja Detalle)</t>
  </si>
  <si>
    <t>Departamento Administrativo de Tránsito y Transporte (DATT); Distriseguridad; Secretaría de Interior y Convivencia Ciudadana (SICC); Asociación de Comerciantes del Centro Histórico (+20 más; ver hoja Detalle)</t>
  </si>
  <si>
    <t>CARDIQUE; Corvivienda; Cuerpo Oficial de Bomberos; EPA Cartagena; Oficina Asesora para la Gestión del Riesgo y Desastres - OAGRD (+11 más; ver hoja Detalle)</t>
  </si>
  <si>
    <t>Dimensión Alimentaria completa (condición según la matriz)</t>
  </si>
  <si>
    <t>Corvivienda; Escuela Taller de Cartagena de Indias (ETCAR); Gerencia de Espacio Público y Movilidad (GEPM); Institución Universitaria Mayor de Cartagena (Colmayor) (+17 más; ver hoja Detalle)</t>
  </si>
  <si>
    <t>Secretaría General (Oficina de Servicios Públicos - Oficina Asesora Informática); Secretaría de Planeación Distrital; ACNUR - Agencia de la ONU para los Refugiados; Caracol Radio - Cartagena (+19 más; ver hoja Detalle)</t>
  </si>
  <si>
    <t>Personal; Comunitaria</t>
  </si>
  <si>
    <t>ACNUR - Agencia de la ONU para los Refugiados; Corporación Jóvenes por la Paz; Corporación Mujeres Tejiendo Paz; Defensoría del Pueblo (Regional Bolívar) (+7 más; ver hoja Detalle)</t>
  </si>
  <si>
    <t>Alimentaria</t>
  </si>
  <si>
    <t>Total de mesas</t>
  </si>
  <si>
    <t>NOTAS Y SUPUESTOS</t>
  </si>
  <si>
    <t>1. Estructura</t>
  </si>
  <si>
    <t>Se mantiene la estructura del archivo original (clasificaciones Territoriales, Rurales, Poblacionales y Sectoriales; columnas Dirección, Fecha y Hora) y se agregan columnas resumen (dimensión, totales, actores clave). El detalle completo por mesa está en la hoja "Detalle por mesa".</t>
  </si>
  <si>
    <t>El original tenía 33 mesas (3 + 11 + 8 + 11). Esta versión tiene 35 (3 + 11 + 9 + 12). Se retiró el asterisco de los nombres de las mesas rurales para que las fórmulas de conteo funcionen.</t>
  </si>
  <si>
    <t>2. Las dos mesas nuevas (propuesta — confirmar o reemplazar)</t>
  </si>
  <si>
    <t>Mesa Poblacional "Migrantes y refugiados": la matriz tiene un grupo claro de actores sobre migración (AVEC, Fundación Colombia Somos Todos, OIM, ACNUR, Migración Colombia) sin mesa poblacional equivalente.</t>
  </si>
  <si>
    <t>Mesa Sectorial "Seguridad alimentaria": la dimensión Alimentaria era la única de las 7 dimensiones sin mesa propia. Tiene solo 5 actores en la matriz (SED/PAE, SPD/UMATA, DADIS, PES-PR e ICBF), por eso es la mesa más pequeña.</t>
  </si>
  <si>
    <t>3. Cómo se asignaron los actores</t>
  </si>
  <si>
    <t>Marco de seguridad humana: las 7 dimensiones son Comunitaria, Económica, Personal, Política, Alimentaria, Ambiental y Salud y sanitaria. La hoja CRISIS de la matriz se trata como eje transversal (fuera de las 7): sus actores conservan la marca en la columna "Eje transversal Crisis" y cada mesa muestra cuántos tiene. Ningún actor de Crisis se pierde, porque todos aparecen también en alguna de las 7 dimensiones.</t>
  </si>
  <si>
    <t>Cada mesa indica la dimensión principal a la que responde y otras dimensiones complementarias (propuesta del análisis, validar). Las 7 dimensiones tienen al menos una mesa como principal.</t>
  </si>
  <si>
    <t>Mesas sectoriales ligadas a una dimensión (Salud, Seguridad y Convivencia, Desarrollo económico, Transparencia, Seguridad alimentaria, Medio ambiente): se incluyen todos los actores de la hoja de esa dimensión, con la condición Principal/Secundaria que tienen allí. La mesa de Medio ambiente, Gestión del riesgo y Planeación incorpora además los actores de Crisis (gestión del riesgo) por el nombre de la mesa.</t>
  </si>
  <si>
    <t>Resto de mesas (territoriales, rurales, poblacionales y el resto de sectoriales): asignación por temática, usando el aporte y las articulaciones declaradas en la matriz. Principal = actor central del tema; Secundario = apoyo o articulación. La asignación por localidad y por corregimiento es una propuesta del análisis (la matriz solo habla de "Alcaldías Locales 1, 2 y 3"); validar.</t>
  </si>
  <si>
    <t>Mesas por clasificación</t>
  </si>
  <si>
    <t>Las dependencias distritales no tienen código en la matriz (solo número por hoja); aparecen como "Dependencia" y se unificaron los nombres que varían entre hojas (por ejemplo Colmayor / Institución Universitaria Mayor de Cartagena).</t>
  </si>
  <si>
    <t>Cobertura: los 109 actores únicos de la matriz (26 dependencias + 83 actores con código) están en al menos una mesa; ver hoja "Cobertura de actores".</t>
  </si>
  <si>
    <t>4. Inconsistencias encontradas en la matriz (revisar en el archivo fuente)</t>
  </si>
  <si>
    <t>Comunitaria: el encabezado declara 22 actores adicionales principales y hay 20 listados; faltan los códigos COM-02 y COM-03 (el total declarado es 60 y hay 58 filas).</t>
  </si>
  <si>
    <t>Política: declara 7 dependencias y hay 6; declara 31 actores adicionales (10 secundarios) y hay 29 (8 secundarios). Total declarado 38, filas listadas 35.</t>
  </si>
  <si>
    <t>Personal: declara 8 dependencias y hay 7 listadas (total declarado 38, filas listadas 37). Las articulaciones mencionan "Centro Histórico", que no aparece como dependencia en ninguna hoja.</t>
  </si>
  <si>
    <t>Ambiental: el encabezado dice 4 dependencias pero hay 5 filas (CARDIQUE, que además no tiene criterio ni otras dimensiones). Total declarado 12, filas listadas 13.</t>
  </si>
  <si>
    <t>Resumen: indica 85 actores únicos adicionales; en las hojas aparecen 83 códigos distintos más COM-02 y COM-03 faltantes = 85. Esos dos no están en ninguna mesa porque la matriz no trae sus datos.</t>
  </si>
  <si>
    <t>La equivalencia Colegio Mayor de Bolívar = Colmayor Cartagena es una suposición de nombre que la propia matriz pide confirmar.</t>
  </si>
  <si>
    <t>5. Metas de convocatoria (2.500 personas)</t>
  </si>
  <si>
    <t>Fijas: 350 en la Localidad Histórica y del Caribe Norte, 400 en La Virgen y Turística y 350 en la Industrial y de la Bahía (1.100 en total). Las 1.400 restantes se reparten entre 32 mesas: rurales 380, poblacionales 600 y sectoriales 420 (saldo). Los bloques, los pisos y los exponentes son propuesta del análisis y están como celdas editables en la hoja "Metas de convocatoria".</t>
  </si>
  <si>
    <t>Método: cada mesa recibe un piso mínimo y el resto del bloque se reparte según su peso (población, o número de actores en los sectoriales). En poblacionales y sectoriales el peso se atenúa con raíz cuadrada para que los grupos grandes y superpuestos no absorban el bloque. Las metas se redondean a múltiplos de 5 y una fila por bloque absorbe el ajuste.</t>
  </si>
  <si>
    <t>Cifras por verificar: la población de Bayunca es una estimación (mujeres del Censo 2018 ÷ 51,8%) y la de Tierra Bomba es provisional (no hallé cifra oficial). Las poblaciones de los corregimientos vienen del Documento resumen del POT, que no indica el año. Las cifras de LGTBI y de población étnica dependen de autorreconocimiento. Todas están marcadas en la hoja de metas.</t>
  </si>
  <si>
    <t>Observación: en el Censo 2018 la Localidad Industrial y de la Bahía tenía 35,4% de la población y La Virgen y Turística 36,2%; con 350 y 400 la diferencia entre metas es mayor que la diferencia de población. Una distribución estrictamente proporcional de los 1.100 (normalizando los pesos, que suman 98,9%) daría 303, 403 y 394 (columna de referencia en la hoja de metas).</t>
  </si>
  <si>
    <t>6. Proyección con margen de error (±500 personas)</t>
  </si>
  <si>
    <t>Se agregó la hoja "Proyección ±500" con tres escenarios: mínimo 2.000, central 2.500 y máximo 3.000. Las metas de bloque se escalan ×0,8 y ×1,2 y se reparten con el mismo método (pisos y pesos); el margen es editable en la celda C6 de esa hoja. En la hoja "Mesas" se añadieron las columnas "Meta mínima (−500)" y "Meta máxima (+500)".</t>
  </si>
  <si>
    <t>Mesas por dimensión principal</t>
  </si>
  <si>
    <t>Crisis (eje transversal)</t>
  </si>
  <si>
    <t>mesas con actores del eje Crisis</t>
  </si>
  <si>
    <t>*** Las Mesas y sus respectivos horarios son susceptibles a cambios</t>
  </si>
  <si>
    <t>*** Dirección, fecha y hora quedan "Por definir": la matriz no contiene esa información. Las 7 dimensiones son las de la seguridad humana; Crisis se trata como eje transversal. Las mesas en rojo (Migrantes y refugiados; Seguridad alimentaria) son las 2 mesas nuevas respecto a las 33 del formato original.</t>
  </si>
  <si>
    <t>*** Los totales de actores cuentan con repeticiones: un mismo actor puede participar en varias mesas. Detalle completo en la hoja "Detalle por mesa"; ver supuestos en "Notas".</t>
  </si>
  <si>
    <t>Subtotal Poblacionales</t>
  </si>
  <si>
    <t>*** Meta de personas: 2.500 en total (escenario central), con margen de ±500: mínimo 2.000 y máximo 3.000. Método y parámetros en las hojas "Metas de convocatoria" y "Proyección ±500".</t>
  </si>
  <si>
    <t>Actores únicos de la matriz</t>
  </si>
  <si>
    <t>Actores sin mesa</t>
  </si>
  <si>
    <t>Subtotal Sectoriales</t>
  </si>
  <si>
    <t>Diferencia frente al escenario (debe ser 0)</t>
  </si>
  <si>
    <t>NOTAS DE LA PROYECCIÓN</t>
  </si>
  <si>
    <t>1. El margen de ±500 personas (±20%) es un parámetro fijado por el equipo, no un error muestral: indica el rango de asistencia que se planea atender, no una estimación estadística.</t>
  </si>
  <si>
    <t>2. Las metas de bloque se escalan por igual (×0,8 y ×1,2) y se redondean a múltiplos de 5; el bloque sectorial es el saldo para que cada escenario sume exactamente 2.000, 2.500 o 3.000.</t>
  </si>
  <si>
    <t>3. Los pisos mínimos por mesa (20 rurales, 30 poblacionales, 20 sectoriales) se mantienen en los tres escenarios; por eso en el escenario mínimo las mesas pequeñas bajan menos que el 20%.</t>
  </si>
  <si>
    <t>4. Hereda las limitaciones de la hoja "Metas de convocatoria": población de Bayunca estimada, Tierra Bomba provisional, poblaciones de corregimientos sin año en la fuente (POT) y cifras LGTBI/étnicas por autorreconocimiento.</t>
  </si>
  <si>
    <t>5. Uso sugerido: logística (espacio, refrigerios, materiales) con el escenario máximo; meta de asistencia con el central; umbral de validez de la mesa con el mínimo.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</si>
</sst>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.0"/>
    <numFmt numFmtId="166" formatCode="#,##0;\-#,##0;0"/>
  </numFmts>
  <fonts count="17">
    <font>
      <sz val="11.0"/>
      <color theme="1"/>
      <name val="Calibri"/>
      <scheme val="minor"/>
    </font>
    <font>
      <b/>
      <sz val="14.0"/>
      <color rgb="FF000000"/>
      <name val="Verdana"/>
    </font>
    <font>
      <b/>
      <sz val="11.0"/>
      <color rgb="FF000000"/>
      <name val="Verdana"/>
    </font>
    <font/>
    <font>
      <b/>
      <sz val="13.0"/>
      <color rgb="FFFFFFFF"/>
      <name val="Verdana"/>
    </font>
    <font>
      <b/>
      <sz val="9.0"/>
      <color rgb="FF000000"/>
      <name val="Verdana"/>
    </font>
    <font>
      <sz val="9.0"/>
      <color rgb="FF000000"/>
      <name val="Verdana"/>
    </font>
    <font>
      <b/>
      <sz val="10.0"/>
      <color rgb="FF000000"/>
      <name val="Verdana"/>
    </font>
    <font>
      <b/>
      <sz val="9.0"/>
      <color rgb="FF008000"/>
      <name val="Verdana"/>
    </font>
    <font>
      <b/>
      <sz val="9.0"/>
      <color rgb="FF0000FF"/>
      <name val="Verdana"/>
    </font>
    <font>
      <i/>
      <sz val="9.0"/>
      <color rgb="FF000000"/>
      <name val="Verdana"/>
    </font>
    <font>
      <b/>
      <sz val="11.0"/>
      <color rgb="FFFFFFFF"/>
      <name val="Verdana"/>
    </font>
    <font>
      <sz val="9.0"/>
      <color rgb="FF0000FF"/>
      <name val="Verdana"/>
    </font>
    <font>
      <sz val="11.0"/>
      <color theme="1"/>
      <name val="Calibri"/>
    </font>
    <font>
      <sz val="9.0"/>
      <color rgb="FF008000"/>
      <name val="Verdana"/>
    </font>
    <font>
      <b/>
      <sz val="9.0"/>
      <color rgb="FFC00000"/>
      <name val="Verdana"/>
    </font>
    <font>
      <i/>
      <sz val="9.0"/>
      <color theme="1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76933C"/>
        <bgColor rgb="FF76933C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  <fill>
      <patternFill patternType="solid">
        <fgColor rgb="FFCCCCCC"/>
        <bgColor rgb="FFCCCCCC"/>
      </patternFill>
    </fill>
    <fill>
      <patternFill patternType="solid">
        <fgColor rgb="FFF79646"/>
        <bgColor rgb="FFF79646"/>
      </patternFill>
    </fill>
    <fill>
      <patternFill patternType="solid">
        <fgColor rgb="FFF9CB9C"/>
        <bgColor rgb="FFF9CB9C"/>
      </patternFill>
    </fill>
  </fills>
  <borders count="11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2" fontId="2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shrinkToFit="0" vertical="center" wrapText="1"/>
    </xf>
    <xf borderId="3" fillId="4" fontId="6" numFmtId="0" xfId="0" applyAlignment="1" applyBorder="1" applyFill="1" applyFont="1">
      <alignment shrinkToFit="0" vertical="center" wrapText="1"/>
    </xf>
    <xf borderId="3" fillId="2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3" fillId="4" fontId="6" numFmtId="0" xfId="0" applyAlignment="1" applyBorder="1" applyFill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5" fillId="2" fontId="2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3" fillId="0" fontId="5" numFmtId="0" xfId="0" applyAlignment="1" applyBorder="1" applyFont="1">
      <alignment shrinkToFit="0" vertical="top" wrapText="1"/>
    </xf>
    <xf borderId="7" fillId="2" fontId="2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7" fillId="0" fontId="8" numFmtId="3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3" fillId="4" fontId="5" numFmtId="3" xfId="0" applyAlignment="1" applyBorder="1" applyFill="1" applyFont="1" applyNumberFormat="1">
      <alignment horizontal="center" vertical="center"/>
    </xf>
    <xf borderId="7" fillId="0" fontId="9" numFmtId="3" xfId="0" applyAlignment="1" applyBorder="1" applyFont="1" applyNumberFormat="1">
      <alignment horizontal="center" shrinkToFit="0" vertical="center" wrapText="1"/>
    </xf>
    <xf borderId="3" fillId="4" fontId="5" numFmtId="164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shrinkToFit="0" vertical="center" wrapText="1"/>
    </xf>
    <xf borderId="7" fillId="0" fontId="5" numFmtId="3" xfId="0" applyAlignment="1" applyBorder="1" applyFont="1" applyNumberForma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" fillId="0" fontId="5" numFmtId="0" xfId="0" applyAlignment="1" applyBorder="1" applyFont="1">
      <alignment shrinkToFit="0" vertical="center" wrapText="1"/>
    </xf>
    <xf borderId="3" fillId="0" fontId="9" numFmtId="3" xfId="0" applyAlignment="1" applyBorder="1" applyFont="1" applyNumberFormat="1">
      <alignment horizontal="center" vertical="center"/>
    </xf>
    <xf borderId="7" fillId="0" fontId="5" numFmtId="164" xfId="0" applyAlignment="1" applyBorder="1" applyFont="1" applyNumberFormat="1">
      <alignment horizontal="center" shrinkToFit="0" vertical="center" wrapText="1"/>
    </xf>
    <xf borderId="7" fillId="0" fontId="5" numFmtId="2" xfId="0" applyAlignment="1" applyBorder="1" applyFont="1" applyNumberFormat="1">
      <alignment horizontal="center" shrinkToFit="0" vertical="center" wrapText="1"/>
    </xf>
    <xf borderId="10" fillId="0" fontId="3" numFmtId="0" xfId="0" applyBorder="1" applyFont="1"/>
    <xf borderId="5" fillId="3" fontId="11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3" fillId="0" fontId="12" numFmtId="3" xfId="0" applyAlignment="1" applyBorder="1" applyFont="1" applyNumberFormat="1">
      <alignment horizontal="center" vertical="center"/>
    </xf>
    <xf borderId="7" fillId="0" fontId="6" numFmtId="3" xfId="0" applyAlignment="1" applyBorder="1" applyFont="1" applyNumberFormat="1">
      <alignment horizontal="center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3" fillId="0" fontId="5" numFmtId="3" xfId="0" applyAlignment="1" applyBorder="1" applyFont="1" applyNumberFormat="1">
      <alignment horizontal="center" vertical="center"/>
    </xf>
    <xf borderId="4" fillId="5" fontId="4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shrinkToFit="0" vertical="center" wrapText="1"/>
    </xf>
    <xf borderId="3" fillId="6" fontId="6" numFmtId="0" xfId="0" applyAlignment="1" applyBorder="1" applyFill="1" applyFont="1">
      <alignment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3" fillId="6" fontId="5" numFmtId="3" xfId="0" applyAlignment="1" applyBorder="1" applyFill="1" applyFont="1" applyNumberFormat="1">
      <alignment horizontal="center" vertical="center"/>
    </xf>
    <xf borderId="3" fillId="6" fontId="5" numFmtId="164" xfId="0" applyAlignment="1" applyBorder="1" applyFill="1" applyFont="1" applyNumberFormat="1">
      <alignment horizontal="center" vertical="center"/>
    </xf>
    <xf borderId="3" fillId="0" fontId="12" numFmtId="2" xfId="0" applyAlignment="1" applyBorder="1" applyFont="1" applyNumberFormat="1">
      <alignment horizontal="center" vertical="center"/>
    </xf>
    <xf borderId="1" fillId="3" fontId="11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0" fontId="6" numFmtId="3" xfId="0" applyAlignment="1" applyBorder="1" applyFont="1" applyNumberFormat="1">
      <alignment horizontal="center" shrinkToFit="0" vertical="center" wrapText="1"/>
    </xf>
    <xf borderId="3" fillId="0" fontId="12" numFmtId="10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ill="1" applyFont="1">
      <alignment shrinkToFit="0" vertical="top" wrapText="1"/>
    </xf>
    <xf borderId="3" fillId="0" fontId="5" numFmtId="3" xfId="0" applyAlignment="1" applyBorder="1" applyFont="1" applyNumberFormat="1">
      <alignment horizontal="center" shrinkToFit="0" vertical="center" wrapText="1"/>
    </xf>
    <xf borderId="3" fillId="0" fontId="6" numFmtId="10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13" numFmtId="0" xfId="0" applyBorder="1" applyFont="1"/>
    <xf borderId="7" fillId="2" fontId="7" numFmtId="0" xfId="0" applyAlignment="1" applyBorder="1" applyFill="1" applyFont="1">
      <alignment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0" fontId="12" numFmtId="3" xfId="0" applyAlignment="1" applyBorder="1" applyFont="1" applyNumberFormat="1">
      <alignment horizontal="center" shrinkToFit="0" vertical="center" wrapText="1"/>
    </xf>
    <xf borderId="7" fillId="2" fontId="7" numFmtId="0" xfId="0" applyAlignment="1" applyBorder="1" applyFill="1" applyFont="1">
      <alignment horizontal="center" shrinkToFit="0" vertical="center" wrapText="1"/>
    </xf>
    <xf borderId="7" fillId="2" fontId="7" numFmtId="3" xfId="0" applyAlignment="1" applyBorder="1" applyFill="1" applyFont="1" applyNumberFormat="1">
      <alignment horizontal="center" shrinkToFit="0" vertical="center" wrapText="1"/>
    </xf>
    <xf borderId="7" fillId="2" fontId="7" numFmtId="164" xfId="0" applyAlignment="1" applyBorder="1" applyFill="1" applyFont="1" applyNumberFormat="1">
      <alignment horizontal="center" shrinkToFit="0" vertical="center" wrapText="1"/>
    </xf>
    <xf borderId="7" fillId="2" fontId="6" numFmtId="0" xfId="0" applyAlignment="1" applyBorder="1" applyFill="1" applyFont="1">
      <alignment shrinkToFit="0" vertical="center" wrapText="1"/>
    </xf>
    <xf borderId="7" fillId="0" fontId="14" numFmtId="0" xfId="0" applyAlignment="1" applyBorder="1" applyFont="1">
      <alignment shrinkToFit="0" vertical="center" wrapText="1"/>
    </xf>
    <xf borderId="3" fillId="0" fontId="6" numFmtId="4" xfId="0" applyAlignment="1" applyBorder="1" applyFont="1" applyNumberFormat="1">
      <alignment horizontal="center" shrinkToFit="0" vertical="center" wrapText="1"/>
    </xf>
    <xf borderId="7" fillId="7" fontId="5" numFmtId="3" xfId="0" applyAlignment="1" applyBorder="1" applyFill="1" applyFont="1" applyNumberFormat="1">
      <alignment horizontal="center"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3" fillId="2" fontId="12" numFmtId="3" xfId="0" applyAlignment="1" applyBorder="1" applyFill="1" applyFont="1" applyNumberFormat="1">
      <alignment horizontal="center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7" fillId="0" fontId="14" numFmtId="165" xfId="0" applyAlignment="1" applyBorder="1" applyFont="1" applyNumberForma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shrinkToFit="0" vertical="center" wrapText="1"/>
    </xf>
    <xf borderId="3" fillId="9" fontId="5" numFmtId="0" xfId="0" applyAlignment="1" applyBorder="1" applyFill="1" applyFont="1">
      <alignment shrinkToFit="0" vertical="center" wrapText="1"/>
    </xf>
    <xf borderId="3" fillId="9" fontId="6" numFmtId="0" xfId="0" applyAlignment="1" applyBorder="1" applyFill="1" applyFont="1">
      <alignment shrinkToFit="0" vertical="top" wrapText="1"/>
    </xf>
    <xf borderId="1" fillId="10" fontId="11" numFmtId="0" xfId="0" applyAlignment="1" applyBorder="1" applyFill="1" applyFont="1">
      <alignment horizontal="center" shrinkToFit="0" vertical="center" wrapText="1"/>
    </xf>
    <xf borderId="3" fillId="11" fontId="5" numFmtId="0" xfId="0" applyAlignment="1" applyBorder="1" applyFill="1" applyFont="1">
      <alignment horizontal="center" shrinkToFit="0" vertical="center" wrapText="1"/>
    </xf>
    <xf borderId="3" fillId="11" fontId="6" numFmtId="0" xfId="0" applyAlignment="1" applyBorder="1" applyFill="1" applyFont="1">
      <alignment shrinkToFit="0" vertical="center" wrapText="1"/>
    </xf>
    <xf borderId="3" fillId="11" fontId="5" numFmtId="0" xfId="0" applyAlignment="1" applyBorder="1" applyFill="1" applyFont="1">
      <alignment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horizontal="center" shrinkToFit="0" vertical="center" wrapText="1"/>
    </xf>
    <xf borderId="3" fillId="11" fontId="6" numFmtId="0" xfId="0" applyAlignment="1" applyBorder="1" applyFill="1" applyFont="1">
      <alignment shrinkToFit="0" vertical="top" wrapText="1"/>
    </xf>
    <xf borderId="1" fillId="2" fontId="7" numFmtId="0" xfId="0" applyAlignment="1" applyBorder="1" applyFill="1" applyFont="1">
      <alignment shrinkToFit="0" vertical="center" wrapText="1"/>
    </xf>
    <xf borderId="3" fillId="9" fontId="5" numFmtId="3" xfId="0" applyAlignment="1" applyBorder="1" applyFill="1" applyFont="1" applyNumberFormat="1">
      <alignment horizontal="center" vertical="center"/>
    </xf>
    <xf borderId="3" fillId="9" fontId="5" numFmtId="164" xfId="0" applyAlignment="1" applyBorder="1" applyFill="1" applyFont="1" applyNumberFormat="1">
      <alignment horizontal="center" vertical="center"/>
    </xf>
    <xf borderId="3" fillId="2" fontId="7" numFmtId="3" xfId="0" applyAlignment="1" applyBorder="1" applyFill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top" wrapText="1"/>
    </xf>
    <xf borderId="3" fillId="9" fontId="15" numFmtId="0" xfId="0" applyAlignment="1" applyBorder="1" applyFill="1" applyFont="1">
      <alignment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3" fillId="11" fontId="6" numFmtId="0" xfId="0" applyAlignment="1" applyBorder="1" applyFill="1" applyFont="1">
      <alignment horizontal="center" shrinkToFit="0" vertical="center" wrapText="1"/>
    </xf>
    <xf borderId="3" fillId="11" fontId="5" numFmtId="3" xfId="0" applyAlignment="1" applyBorder="1" applyFill="1" applyFont="1" applyNumberFormat="1">
      <alignment horizontal="center" vertical="center"/>
    </xf>
    <xf borderId="3" fillId="11" fontId="5" numFmtId="164" xfId="0" applyAlignment="1" applyBorder="1" applyFill="1" applyFont="1" applyNumberFormat="1">
      <alignment horizontal="center" vertical="center"/>
    </xf>
    <xf borderId="3" fillId="11" fontId="15" numFmtId="0" xfId="0" applyAlignment="1" applyBorder="1" applyFill="1" applyFont="1">
      <alignment shrinkToFit="0" vertical="center" wrapText="1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3" xfId="0" applyAlignment="1" applyFont="1" applyNumberFormat="1">
      <alignment horizontal="center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horizontal="left"/>
    </xf>
    <xf borderId="0" fillId="0" fontId="10" numFmtId="0" xfId="0" applyFont="1"/>
    <xf borderId="0" fillId="0" fontId="16" numFmtId="0" xfId="0" applyAlignment="1" applyFont="1">
      <alignment horizontal="left" shrinkToFit="0" vertical="center" wrapText="1"/>
    </xf>
    <xf borderId="5" fillId="2" fontId="7" numFmtId="0" xfId="0" applyAlignment="1" applyBorder="1" applyFill="1" applyFont="1">
      <alignment shrinkToFit="0" vertical="center" wrapText="1"/>
    </xf>
    <xf borderId="7" fillId="0" fontId="6" numFmtId="166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2.71"/>
    <col customWidth="1" min="2" max="2" width="40.0"/>
    <col customWidth="1" min="3" max="5" width="16.0"/>
    <col customWidth="1" min="6" max="6" width="29.0"/>
    <col customWidth="1" min="7" max="7" width="26.0"/>
    <col customWidth="1" min="8" max="8" width="21.43"/>
    <col customWidth="1" min="9" max="9" width="10.0"/>
    <col customWidth="1" min="10" max="10" width="15.43"/>
    <col customWidth="1" min="11" max="11" width="17.57"/>
    <col customWidth="1" min="12" max="12" width="76.71"/>
    <col customWidth="1" min="13" max="13" width="14.0"/>
    <col customWidth="1" min="14" max="14" width="12.0"/>
    <col customWidth="1" min="15" max="15" width="14.0"/>
  </cols>
  <sheetData>
    <row r="1" ht="27.75" customHeight="1">
      <c r="A1" s="1" t="s">
        <v>0</v>
      </c>
    </row>
    <row r="2" ht="45.75" customHeight="1">
      <c r="A2" s="2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ht="51.75" customHeight="1">
      <c r="A3" s="5" t="s">
        <v>15</v>
      </c>
      <c r="B3" s="6" t="s">
        <v>16</v>
      </c>
      <c r="C3" s="7" t="s">
        <v>18</v>
      </c>
      <c r="D3" s="7" t="s">
        <v>18</v>
      </c>
      <c r="E3" s="7" t="s">
        <v>18</v>
      </c>
      <c r="F3" s="7" t="s">
        <v>19</v>
      </c>
      <c r="G3" s="7" t="s">
        <v>20</v>
      </c>
      <c r="H3" s="17">
        <f>COUNTIFS('Detalle por mesa'!$B:$B,$B3,'Detalle por mesa'!$I:$I,"Principal")+COUNTIFS('Detalle por mesa'!$B:$B,$B3,'Detalle por mesa'!$I:$I,"Secundario")</f>
        <v>3</v>
      </c>
      <c r="I3" s="17">
        <f>COUNTIF('Detalle por mesa'!$B:$B,$B3)</f>
        <v>19</v>
      </c>
      <c r="J3" s="17">
        <f>COUNTIFS('Detalle por mesa'!$B:$B,$B3,'Detalle por mesa'!$G:$G,"Principal")</f>
        <v>9</v>
      </c>
      <c r="K3" s="17">
        <f>COUNTIFS('Detalle por mesa'!$B:$B,$B3,'Detalle por mesa'!$G:$G,"Secundario")</f>
        <v>10</v>
      </c>
      <c r="L3" s="7" t="s">
        <v>78</v>
      </c>
      <c r="M3" s="21">
        <v>350.0</v>
      </c>
      <c r="N3" s="23">
        <f t="shared" ref="N3:N5" si="1">M3/$M$42</f>
        <v>0.14</v>
      </c>
      <c r="O3" s="21">
        <f>'Proyección ±500'!F24</f>
        <v>420</v>
      </c>
    </row>
    <row r="4" ht="39.0" customHeight="1">
      <c r="A4" s="26"/>
      <c r="B4" s="6" t="s">
        <v>84</v>
      </c>
      <c r="C4" s="7" t="s">
        <v>18</v>
      </c>
      <c r="D4" s="7" t="s">
        <v>18</v>
      </c>
      <c r="E4" s="7" t="s">
        <v>18</v>
      </c>
      <c r="F4" s="7" t="s">
        <v>19</v>
      </c>
      <c r="G4" s="7" t="s">
        <v>86</v>
      </c>
      <c r="H4" s="17">
        <f>COUNTIFS('Detalle por mesa'!$B:$B,$B4,'Detalle por mesa'!$I:$I,"Principal")+COUNTIFS('Detalle por mesa'!$B:$B,$B4,'Detalle por mesa'!$I:$I,"Secundario")</f>
        <v>3</v>
      </c>
      <c r="I4" s="17">
        <f>COUNTIF('Detalle por mesa'!$B:$B,$B4)</f>
        <v>18</v>
      </c>
      <c r="J4" s="17">
        <f>COUNTIFS('Detalle por mesa'!$B:$B,$B4,'Detalle por mesa'!$G:$G,"Principal")</f>
        <v>7</v>
      </c>
      <c r="K4" s="17">
        <f>COUNTIFS('Detalle por mesa'!$B:$B,$B4,'Detalle por mesa'!$G:$G,"Secundario")</f>
        <v>11</v>
      </c>
      <c r="L4" s="7" t="s">
        <v>95</v>
      </c>
      <c r="M4" s="21">
        <v>400.0</v>
      </c>
      <c r="N4" s="23">
        <f t="shared" si="1"/>
        <v>0.16</v>
      </c>
      <c r="O4" s="21">
        <f>'Proyección ±500'!F25</f>
        <v>480</v>
      </c>
    </row>
    <row r="5" ht="51.75" customHeight="1">
      <c r="A5" s="32"/>
      <c r="B5" s="6" t="s">
        <v>97</v>
      </c>
      <c r="C5" s="7" t="s">
        <v>18</v>
      </c>
      <c r="D5" s="7" t="s">
        <v>18</v>
      </c>
      <c r="E5" s="7" t="s">
        <v>18</v>
      </c>
      <c r="F5" s="7" t="s">
        <v>19</v>
      </c>
      <c r="G5" s="7" t="s">
        <v>86</v>
      </c>
      <c r="H5" s="17">
        <f>COUNTIFS('Detalle por mesa'!$B:$B,$B5,'Detalle por mesa'!$I:$I,"Principal")+COUNTIFS('Detalle por mesa'!$B:$B,$B5,'Detalle por mesa'!$I:$I,"Secundario")</f>
        <v>3</v>
      </c>
      <c r="I5" s="17">
        <f>COUNTIF('Detalle por mesa'!$B:$B,$B5)</f>
        <v>17</v>
      </c>
      <c r="J5" s="17">
        <f>COUNTIFS('Detalle por mesa'!$B:$B,$B5,'Detalle por mesa'!$G:$G,"Principal")</f>
        <v>7</v>
      </c>
      <c r="K5" s="17">
        <f>COUNTIFS('Detalle por mesa'!$B:$B,$B5,'Detalle por mesa'!$G:$G,"Secundario")</f>
        <v>10</v>
      </c>
      <c r="L5" s="7" t="s">
        <v>124</v>
      </c>
      <c r="M5" s="21">
        <v>350.0</v>
      </c>
      <c r="N5" s="23">
        <f t="shared" si="1"/>
        <v>0.14</v>
      </c>
      <c r="O5" s="21">
        <f>'Proyección ±500'!F26</f>
        <v>420</v>
      </c>
    </row>
    <row r="6" ht="14.25" customHeight="1"/>
    <row r="7" ht="51.75" customHeight="1">
      <c r="A7" s="43" t="s">
        <v>130</v>
      </c>
      <c r="B7" s="44" t="s">
        <v>144</v>
      </c>
      <c r="C7" s="45" t="s">
        <v>18</v>
      </c>
      <c r="D7" s="45" t="s">
        <v>18</v>
      </c>
      <c r="E7" s="45" t="s">
        <v>18</v>
      </c>
      <c r="F7" s="45" t="s">
        <v>19</v>
      </c>
      <c r="G7" s="45" t="s">
        <v>151</v>
      </c>
      <c r="H7" s="46">
        <f>COUNTIFS('Detalle por mesa'!$B:$B,$B7,'Detalle por mesa'!$I:$I,"Principal")+COUNTIFS('Detalle por mesa'!$B:$B,$B7,'Detalle por mesa'!$I:$I,"Secundario")</f>
        <v>4</v>
      </c>
      <c r="I7" s="46">
        <f>COUNTIF('Detalle por mesa'!$B:$B,$B7)</f>
        <v>12</v>
      </c>
      <c r="J7" s="46">
        <f>COUNTIFS('Detalle por mesa'!$B:$B,$B7,'Detalle por mesa'!$G:$G,"Principal")</f>
        <v>5</v>
      </c>
      <c r="K7" s="46">
        <f>COUNTIFS('Detalle por mesa'!$B:$B,$B7,'Detalle por mesa'!$G:$G,"Secundario")</f>
        <v>7</v>
      </c>
      <c r="L7" s="45" t="s">
        <v>168</v>
      </c>
      <c r="M7" s="47">
        <v>60.0</v>
      </c>
      <c r="N7" s="48">
        <f t="shared" ref="N7:N17" si="2">M7/$M$42</f>
        <v>0.024</v>
      </c>
      <c r="O7" s="47">
        <f>'Proyección ±500'!F29</f>
        <v>75</v>
      </c>
    </row>
    <row r="8" ht="51.75" customHeight="1">
      <c r="A8" s="26"/>
      <c r="B8" s="44" t="s">
        <v>178</v>
      </c>
      <c r="C8" s="45" t="s">
        <v>18</v>
      </c>
      <c r="D8" s="45" t="s">
        <v>18</v>
      </c>
      <c r="E8" s="45" t="s">
        <v>18</v>
      </c>
      <c r="F8" s="45" t="s">
        <v>19</v>
      </c>
      <c r="G8" s="45" t="s">
        <v>151</v>
      </c>
      <c r="H8" s="46">
        <f>COUNTIFS('Detalle por mesa'!$B:$B,$B8,'Detalle por mesa'!$I:$I,"Principal")+COUNTIFS('Detalle por mesa'!$B:$B,$B8,'Detalle por mesa'!$I:$I,"Secundario")</f>
        <v>4</v>
      </c>
      <c r="I8" s="46">
        <f>COUNTIF('Detalle por mesa'!$B:$B,$B8)</f>
        <v>12</v>
      </c>
      <c r="J8" s="46">
        <f>COUNTIFS('Detalle por mesa'!$B:$B,$B8,'Detalle por mesa'!$G:$G,"Principal")</f>
        <v>5</v>
      </c>
      <c r="K8" s="46">
        <f>COUNTIFS('Detalle por mesa'!$B:$B,$B8,'Detalle por mesa'!$G:$G,"Secundario")</f>
        <v>7</v>
      </c>
      <c r="L8" s="45" t="s">
        <v>168</v>
      </c>
      <c r="M8" s="47">
        <v>25.0</v>
      </c>
      <c r="N8" s="48">
        <f t="shared" si="2"/>
        <v>0.01</v>
      </c>
      <c r="O8" s="47">
        <f>'Proyección ±500'!F30</f>
        <v>25</v>
      </c>
    </row>
    <row r="9" ht="51.75" customHeight="1">
      <c r="A9" s="26"/>
      <c r="B9" s="44" t="s">
        <v>224</v>
      </c>
      <c r="C9" s="45" t="s">
        <v>18</v>
      </c>
      <c r="D9" s="45" t="s">
        <v>18</v>
      </c>
      <c r="E9" s="45" t="s">
        <v>18</v>
      </c>
      <c r="F9" s="45" t="s">
        <v>19</v>
      </c>
      <c r="G9" s="45" t="s">
        <v>151</v>
      </c>
      <c r="H9" s="46">
        <f>COUNTIFS('Detalle por mesa'!$B:$B,$B9,'Detalle por mesa'!$I:$I,"Principal")+COUNTIFS('Detalle por mesa'!$B:$B,$B9,'Detalle por mesa'!$I:$I,"Secundario")</f>
        <v>4</v>
      </c>
      <c r="I9" s="46">
        <f>COUNTIF('Detalle por mesa'!$B:$B,$B9)</f>
        <v>12</v>
      </c>
      <c r="J9" s="46">
        <f>COUNTIFS('Detalle por mesa'!$B:$B,$B9,'Detalle por mesa'!$G:$G,"Principal")</f>
        <v>5</v>
      </c>
      <c r="K9" s="46">
        <f>COUNTIFS('Detalle por mesa'!$B:$B,$B9,'Detalle por mesa'!$G:$G,"Secundario")</f>
        <v>7</v>
      </c>
      <c r="L9" s="45" t="s">
        <v>168</v>
      </c>
      <c r="M9" s="47">
        <v>20.0</v>
      </c>
      <c r="N9" s="48">
        <f t="shared" si="2"/>
        <v>0.008</v>
      </c>
      <c r="O9" s="47">
        <f>'Proyección ±500'!F31</f>
        <v>25</v>
      </c>
    </row>
    <row r="10" ht="51.75" customHeight="1">
      <c r="A10" s="26"/>
      <c r="B10" s="44" t="s">
        <v>232</v>
      </c>
      <c r="C10" s="45" t="s">
        <v>18</v>
      </c>
      <c r="D10" s="45" t="s">
        <v>18</v>
      </c>
      <c r="E10" s="45" t="s">
        <v>18</v>
      </c>
      <c r="F10" s="45" t="s">
        <v>19</v>
      </c>
      <c r="G10" s="45" t="s">
        <v>151</v>
      </c>
      <c r="H10" s="46">
        <f>COUNTIFS('Detalle por mesa'!$B:$B,$B10,'Detalle por mesa'!$I:$I,"Principal")+COUNTIFS('Detalle por mesa'!$B:$B,$B10,'Detalle por mesa'!$I:$I,"Secundario")</f>
        <v>3</v>
      </c>
      <c r="I10" s="46">
        <f>COUNTIF('Detalle por mesa'!$B:$B,$B10)</f>
        <v>11</v>
      </c>
      <c r="J10" s="46">
        <f>COUNTIFS('Detalle por mesa'!$B:$B,$B10,'Detalle por mesa'!$G:$G,"Principal")</f>
        <v>5</v>
      </c>
      <c r="K10" s="46">
        <f>COUNTIFS('Detalle por mesa'!$B:$B,$B10,'Detalle por mesa'!$G:$G,"Secundario")</f>
        <v>6</v>
      </c>
      <c r="L10" s="45" t="s">
        <v>168</v>
      </c>
      <c r="M10" s="47">
        <v>65.0</v>
      </c>
      <c r="N10" s="48">
        <f t="shared" si="2"/>
        <v>0.026</v>
      </c>
      <c r="O10" s="47">
        <f>'Proyección ±500'!F32</f>
        <v>90</v>
      </c>
    </row>
    <row r="11" ht="51.75" customHeight="1">
      <c r="A11" s="26"/>
      <c r="B11" s="44" t="s">
        <v>236</v>
      </c>
      <c r="C11" s="45" t="s">
        <v>18</v>
      </c>
      <c r="D11" s="45" t="s">
        <v>18</v>
      </c>
      <c r="E11" s="45" t="s">
        <v>18</v>
      </c>
      <c r="F11" s="45" t="s">
        <v>19</v>
      </c>
      <c r="G11" s="45" t="s">
        <v>151</v>
      </c>
      <c r="H11" s="46">
        <f>COUNTIFS('Detalle por mesa'!$B:$B,$B11,'Detalle por mesa'!$I:$I,"Principal")+COUNTIFS('Detalle por mesa'!$B:$B,$B11,'Detalle por mesa'!$I:$I,"Secundario")</f>
        <v>3</v>
      </c>
      <c r="I11" s="46">
        <f>COUNTIF('Detalle por mesa'!$B:$B,$B11)</f>
        <v>12</v>
      </c>
      <c r="J11" s="46">
        <f>COUNTIFS('Detalle por mesa'!$B:$B,$B11,'Detalle por mesa'!$G:$G,"Principal")</f>
        <v>6</v>
      </c>
      <c r="K11" s="46">
        <f>COUNTIFS('Detalle por mesa'!$B:$B,$B11,'Detalle por mesa'!$G:$G,"Secundario")</f>
        <v>6</v>
      </c>
      <c r="L11" s="45" t="s">
        <v>267</v>
      </c>
      <c r="M11" s="47">
        <v>50.0</v>
      </c>
      <c r="N11" s="48">
        <f t="shared" si="2"/>
        <v>0.02</v>
      </c>
      <c r="O11" s="47">
        <f>'Proyección ±500'!F33</f>
        <v>60</v>
      </c>
    </row>
    <row r="12" ht="51.75" customHeight="1">
      <c r="A12" s="26"/>
      <c r="B12" s="44" t="s">
        <v>251</v>
      </c>
      <c r="C12" s="45" t="s">
        <v>18</v>
      </c>
      <c r="D12" s="45" t="s">
        <v>18</v>
      </c>
      <c r="E12" s="45" t="s">
        <v>18</v>
      </c>
      <c r="F12" s="45" t="s">
        <v>19</v>
      </c>
      <c r="G12" s="45" t="s">
        <v>151</v>
      </c>
      <c r="H12" s="46">
        <f>COUNTIFS('Detalle por mesa'!$B:$B,$B12,'Detalle por mesa'!$I:$I,"Principal")+COUNTIFS('Detalle por mesa'!$B:$B,$B12,'Detalle por mesa'!$I:$I,"Secundario")</f>
        <v>3</v>
      </c>
      <c r="I12" s="46">
        <f>COUNTIF('Detalle por mesa'!$B:$B,$B12)</f>
        <v>11</v>
      </c>
      <c r="J12" s="46">
        <f>COUNTIFS('Detalle por mesa'!$B:$B,$B12,'Detalle por mesa'!$G:$G,"Principal")</f>
        <v>5</v>
      </c>
      <c r="K12" s="46">
        <f>COUNTIFS('Detalle por mesa'!$B:$B,$B12,'Detalle por mesa'!$G:$G,"Secundario")</f>
        <v>6</v>
      </c>
      <c r="L12" s="45" t="s">
        <v>168</v>
      </c>
      <c r="M12" s="47">
        <v>25.0</v>
      </c>
      <c r="N12" s="48">
        <f t="shared" si="2"/>
        <v>0.01</v>
      </c>
      <c r="O12" s="47">
        <f>'Proyección ±500'!F34</f>
        <v>30</v>
      </c>
    </row>
    <row r="13" ht="51.75" customHeight="1">
      <c r="A13" s="26"/>
      <c r="B13" s="44" t="s">
        <v>252</v>
      </c>
      <c r="C13" s="45" t="s">
        <v>18</v>
      </c>
      <c r="D13" s="45" t="s">
        <v>18</v>
      </c>
      <c r="E13" s="45" t="s">
        <v>18</v>
      </c>
      <c r="F13" s="45" t="s">
        <v>19</v>
      </c>
      <c r="G13" s="45" t="s">
        <v>151</v>
      </c>
      <c r="H13" s="46">
        <f>COUNTIFS('Detalle por mesa'!$B:$B,$B13,'Detalle por mesa'!$I:$I,"Principal")+COUNTIFS('Detalle por mesa'!$B:$B,$B13,'Detalle por mesa'!$I:$I,"Secundario")</f>
        <v>6</v>
      </c>
      <c r="I13" s="46">
        <f>COUNTIF('Detalle por mesa'!$B:$B,$B13)</f>
        <v>16</v>
      </c>
      <c r="J13" s="46">
        <f>COUNTIFS('Detalle por mesa'!$B:$B,$B13,'Detalle por mesa'!$G:$G,"Principal")</f>
        <v>6</v>
      </c>
      <c r="K13" s="46">
        <f>COUNTIFS('Detalle por mesa'!$B:$B,$B13,'Detalle por mesa'!$G:$G,"Secundario")</f>
        <v>10</v>
      </c>
      <c r="L13" s="45" t="s">
        <v>267</v>
      </c>
      <c r="M13" s="47">
        <v>30.0</v>
      </c>
      <c r="N13" s="48">
        <f t="shared" si="2"/>
        <v>0.012</v>
      </c>
      <c r="O13" s="47">
        <f>'Proyección ±500'!F35</f>
        <v>30</v>
      </c>
    </row>
    <row r="14" ht="51.75" customHeight="1">
      <c r="A14" s="26"/>
      <c r="B14" s="44" t="s">
        <v>266</v>
      </c>
      <c r="C14" s="45" t="s">
        <v>18</v>
      </c>
      <c r="D14" s="45" t="s">
        <v>18</v>
      </c>
      <c r="E14" s="45" t="s">
        <v>18</v>
      </c>
      <c r="F14" s="45" t="s">
        <v>19</v>
      </c>
      <c r="G14" s="45" t="s">
        <v>151</v>
      </c>
      <c r="H14" s="46">
        <f>COUNTIFS('Detalle por mesa'!$B:$B,$B14,'Detalle por mesa'!$I:$I,"Principal")+COUNTIFS('Detalle por mesa'!$B:$B,$B14,'Detalle por mesa'!$I:$I,"Secundario")</f>
        <v>6</v>
      </c>
      <c r="I14" s="46">
        <f>COUNTIF('Detalle por mesa'!$B:$B,$B14)</f>
        <v>15</v>
      </c>
      <c r="J14" s="46">
        <f>COUNTIFS('Detalle por mesa'!$B:$B,$B14,'Detalle por mesa'!$G:$G,"Principal")</f>
        <v>5</v>
      </c>
      <c r="K14" s="46">
        <f>COUNTIFS('Detalle por mesa'!$B:$B,$B14,'Detalle por mesa'!$G:$G,"Secundario")</f>
        <v>10</v>
      </c>
      <c r="L14" s="45" t="s">
        <v>168</v>
      </c>
      <c r="M14" s="47">
        <v>30.0</v>
      </c>
      <c r="N14" s="48">
        <f t="shared" si="2"/>
        <v>0.012</v>
      </c>
      <c r="O14" s="47">
        <f>'Proyección ±500'!F36</f>
        <v>35</v>
      </c>
    </row>
    <row r="15" ht="51.75" customHeight="1">
      <c r="A15" s="26"/>
      <c r="B15" s="44" t="s">
        <v>270</v>
      </c>
      <c r="C15" s="45" t="s">
        <v>18</v>
      </c>
      <c r="D15" s="45" t="s">
        <v>18</v>
      </c>
      <c r="E15" s="45" t="s">
        <v>18</v>
      </c>
      <c r="F15" s="45" t="s">
        <v>19</v>
      </c>
      <c r="G15" s="45" t="s">
        <v>151</v>
      </c>
      <c r="H15" s="46">
        <f>COUNTIFS('Detalle por mesa'!$B:$B,$B15,'Detalle por mesa'!$I:$I,"Principal")+COUNTIFS('Detalle por mesa'!$B:$B,$B15,'Detalle por mesa'!$I:$I,"Secundario")</f>
        <v>6</v>
      </c>
      <c r="I15" s="46">
        <f>COUNTIF('Detalle por mesa'!$B:$B,$B15)</f>
        <v>15</v>
      </c>
      <c r="J15" s="46">
        <f>COUNTIFS('Detalle por mesa'!$B:$B,$B15,'Detalle por mesa'!$G:$G,"Principal")</f>
        <v>5</v>
      </c>
      <c r="K15" s="46">
        <f>COUNTIFS('Detalle por mesa'!$B:$B,$B15,'Detalle por mesa'!$G:$G,"Secundario")</f>
        <v>10</v>
      </c>
      <c r="L15" s="45" t="s">
        <v>168</v>
      </c>
      <c r="M15" s="47">
        <v>30.0</v>
      </c>
      <c r="N15" s="48">
        <f t="shared" si="2"/>
        <v>0.012</v>
      </c>
      <c r="O15" s="47">
        <f>'Proyección ±500'!F37</f>
        <v>35</v>
      </c>
    </row>
    <row r="16" ht="51.75" customHeight="1">
      <c r="A16" s="26"/>
      <c r="B16" s="44" t="s">
        <v>274</v>
      </c>
      <c r="C16" s="45" t="s">
        <v>18</v>
      </c>
      <c r="D16" s="45" t="s">
        <v>18</v>
      </c>
      <c r="E16" s="45" t="s">
        <v>18</v>
      </c>
      <c r="F16" s="45" t="s">
        <v>19</v>
      </c>
      <c r="G16" s="45" t="s">
        <v>151</v>
      </c>
      <c r="H16" s="46">
        <f>COUNTIFS('Detalle por mesa'!$B:$B,$B16,'Detalle por mesa'!$I:$I,"Principal")+COUNTIFS('Detalle por mesa'!$B:$B,$B16,'Detalle por mesa'!$I:$I,"Secundario")</f>
        <v>6</v>
      </c>
      <c r="I16" s="46">
        <f>COUNTIF('Detalle por mesa'!$B:$B,$B16)</f>
        <v>15</v>
      </c>
      <c r="J16" s="46">
        <f>COUNTIFS('Detalle por mesa'!$B:$B,$B16,'Detalle por mesa'!$G:$G,"Principal")</f>
        <v>5</v>
      </c>
      <c r="K16" s="46">
        <f>COUNTIFS('Detalle por mesa'!$B:$B,$B16,'Detalle por mesa'!$G:$G,"Secundario")</f>
        <v>10</v>
      </c>
      <c r="L16" s="45" t="s">
        <v>168</v>
      </c>
      <c r="M16" s="47">
        <v>20.0</v>
      </c>
      <c r="N16" s="48">
        <f t="shared" si="2"/>
        <v>0.008</v>
      </c>
      <c r="O16" s="47">
        <f>'Proyección ±500'!F38</f>
        <v>25</v>
      </c>
    </row>
    <row r="17" ht="51.75" customHeight="1">
      <c r="A17" s="32"/>
      <c r="B17" s="44" t="s">
        <v>275</v>
      </c>
      <c r="C17" s="45" t="s">
        <v>18</v>
      </c>
      <c r="D17" s="45" t="s">
        <v>18</v>
      </c>
      <c r="E17" s="45" t="s">
        <v>18</v>
      </c>
      <c r="F17" s="45" t="s">
        <v>19</v>
      </c>
      <c r="G17" s="45" t="s">
        <v>151</v>
      </c>
      <c r="H17" s="46">
        <f>COUNTIFS('Detalle por mesa'!$B:$B,$B17,'Detalle por mesa'!$I:$I,"Principal")+COUNTIFS('Detalle por mesa'!$B:$B,$B17,'Detalle por mesa'!$I:$I,"Secundario")</f>
        <v>6</v>
      </c>
      <c r="I17" s="46">
        <f>COUNTIF('Detalle por mesa'!$B:$B,$B17)</f>
        <v>15</v>
      </c>
      <c r="J17" s="46">
        <f>COUNTIFS('Detalle por mesa'!$B:$B,$B17,'Detalle por mesa'!$G:$G,"Principal")</f>
        <v>5</v>
      </c>
      <c r="K17" s="46">
        <f>COUNTIFS('Detalle por mesa'!$B:$B,$B17,'Detalle por mesa'!$G:$G,"Secundario")</f>
        <v>10</v>
      </c>
      <c r="L17" s="45" t="s">
        <v>168</v>
      </c>
      <c r="M17" s="47">
        <v>25.0</v>
      </c>
      <c r="N17" s="48">
        <f t="shared" si="2"/>
        <v>0.01</v>
      </c>
      <c r="O17" s="47">
        <f>'Proyección ±500'!F39</f>
        <v>25</v>
      </c>
    </row>
    <row r="18" ht="14.25" customHeight="1"/>
    <row r="19" ht="39.0" customHeight="1">
      <c r="A19" s="84" t="s">
        <v>223</v>
      </c>
      <c r="B19" s="78" t="s">
        <v>280</v>
      </c>
      <c r="C19" s="77" t="s">
        <v>18</v>
      </c>
      <c r="D19" s="77" t="s">
        <v>18</v>
      </c>
      <c r="E19" s="77" t="s">
        <v>18</v>
      </c>
      <c r="F19" s="77" t="s">
        <v>19</v>
      </c>
      <c r="G19" s="77" t="s">
        <v>407</v>
      </c>
      <c r="H19" s="85">
        <f>COUNTIFS('Detalle por mesa'!$B:$B,$B19,'Detalle por mesa'!$I:$I,"Principal")+COUNTIFS('Detalle por mesa'!$B:$B,$B19,'Detalle por mesa'!$I:$I,"Secundario")</f>
        <v>1</v>
      </c>
      <c r="I19" s="85">
        <f>COUNTIF('Detalle por mesa'!$B:$B,$B19)</f>
        <v>7</v>
      </c>
      <c r="J19" s="85">
        <f>COUNTIFS('Detalle por mesa'!$B:$B,$B19,'Detalle por mesa'!$G:$G,"Principal")</f>
        <v>3</v>
      </c>
      <c r="K19" s="85">
        <f>COUNTIFS('Detalle por mesa'!$B:$B,$B19,'Detalle por mesa'!$G:$G,"Secundario")</f>
        <v>4</v>
      </c>
      <c r="L19" s="77" t="s">
        <v>422</v>
      </c>
      <c r="M19" s="88">
        <v>65.0</v>
      </c>
      <c r="N19" s="89">
        <f t="shared" ref="N19:N27" si="3">M19/$M$42</f>
        <v>0.026</v>
      </c>
      <c r="O19" s="88">
        <f>'Proyección ±500'!F42</f>
        <v>80</v>
      </c>
    </row>
    <row r="20" ht="30.0" customHeight="1">
      <c r="A20" s="26"/>
      <c r="B20" s="78" t="s">
        <v>283</v>
      </c>
      <c r="C20" s="77" t="s">
        <v>18</v>
      </c>
      <c r="D20" s="77" t="s">
        <v>18</v>
      </c>
      <c r="E20" s="77" t="s">
        <v>18</v>
      </c>
      <c r="F20" s="77" t="s">
        <v>407</v>
      </c>
      <c r="G20" s="77" t="s">
        <v>429</v>
      </c>
      <c r="H20" s="85">
        <f>COUNTIFS('Detalle por mesa'!$B:$B,$B20,'Detalle por mesa'!$I:$I,"Principal")+COUNTIFS('Detalle por mesa'!$B:$B,$B20,'Detalle por mesa'!$I:$I,"Secundario")</f>
        <v>1</v>
      </c>
      <c r="I20" s="85">
        <f>COUNTIF('Detalle por mesa'!$B:$B,$B20)</f>
        <v>8</v>
      </c>
      <c r="J20" s="85">
        <f>COUNTIFS('Detalle por mesa'!$B:$B,$B20,'Detalle por mesa'!$G:$G,"Principal")</f>
        <v>4</v>
      </c>
      <c r="K20" s="85">
        <f>COUNTIFS('Detalle por mesa'!$B:$B,$B20,'Detalle por mesa'!$G:$G,"Secundario")</f>
        <v>4</v>
      </c>
      <c r="L20" s="77" t="s">
        <v>433</v>
      </c>
      <c r="M20" s="88">
        <v>75.0</v>
      </c>
      <c r="N20" s="89">
        <f t="shared" si="3"/>
        <v>0.03</v>
      </c>
      <c r="O20" s="88">
        <f>'Proyección ±500'!F43</f>
        <v>90</v>
      </c>
    </row>
    <row r="21" ht="30.0" customHeight="1">
      <c r="A21" s="26"/>
      <c r="B21" s="78" t="s">
        <v>286</v>
      </c>
      <c r="C21" s="77" t="s">
        <v>18</v>
      </c>
      <c r="D21" s="77" t="s">
        <v>18</v>
      </c>
      <c r="E21" s="77" t="s">
        <v>18</v>
      </c>
      <c r="F21" s="77" t="s">
        <v>19</v>
      </c>
      <c r="G21" s="77" t="s">
        <v>440</v>
      </c>
      <c r="H21" s="85">
        <f>COUNTIFS('Detalle por mesa'!$B:$B,$B21,'Detalle por mesa'!$I:$I,"Principal")+COUNTIFS('Detalle por mesa'!$B:$B,$B21,'Detalle por mesa'!$I:$I,"Secundario")</f>
        <v>3</v>
      </c>
      <c r="I21" s="85">
        <f>COUNTIF('Detalle por mesa'!$B:$B,$B21)</f>
        <v>7</v>
      </c>
      <c r="J21" s="85">
        <f>COUNTIFS('Detalle por mesa'!$B:$B,$B21,'Detalle por mesa'!$G:$G,"Principal")</f>
        <v>2</v>
      </c>
      <c r="K21" s="85">
        <f>COUNTIFS('Detalle por mesa'!$B:$B,$B21,'Detalle por mesa'!$G:$G,"Secundario")</f>
        <v>5</v>
      </c>
      <c r="L21" s="77" t="s">
        <v>454</v>
      </c>
      <c r="M21" s="88">
        <v>40.0</v>
      </c>
      <c r="N21" s="89">
        <f t="shared" si="3"/>
        <v>0.016</v>
      </c>
      <c r="O21" s="88">
        <f>'Proyección ±500'!F44</f>
        <v>45</v>
      </c>
    </row>
    <row r="22" ht="39.0" customHeight="1">
      <c r="A22" s="26"/>
      <c r="B22" s="78" t="s">
        <v>289</v>
      </c>
      <c r="C22" s="77" t="s">
        <v>18</v>
      </c>
      <c r="D22" s="77" t="s">
        <v>18</v>
      </c>
      <c r="E22" s="77" t="s">
        <v>18</v>
      </c>
      <c r="F22" s="77" t="s">
        <v>19</v>
      </c>
      <c r="G22" s="77" t="s">
        <v>455</v>
      </c>
      <c r="H22" s="85">
        <f>COUNTIFS('Detalle por mesa'!$B:$B,$B22,'Detalle por mesa'!$I:$I,"Principal")+COUNTIFS('Detalle por mesa'!$B:$B,$B22,'Detalle por mesa'!$I:$I,"Secundario")</f>
        <v>1</v>
      </c>
      <c r="I22" s="85">
        <f>COUNTIF('Detalle por mesa'!$B:$B,$B22)</f>
        <v>6</v>
      </c>
      <c r="J22" s="85">
        <f>COUNTIFS('Detalle por mesa'!$B:$B,$B22,'Detalle por mesa'!$G:$G,"Principal")</f>
        <v>3</v>
      </c>
      <c r="K22" s="85">
        <f>COUNTIFS('Detalle por mesa'!$B:$B,$B22,'Detalle por mesa'!$G:$G,"Secundario")</f>
        <v>3</v>
      </c>
      <c r="L22" s="77" t="s">
        <v>474</v>
      </c>
      <c r="M22" s="88">
        <v>45.0</v>
      </c>
      <c r="N22" s="89">
        <f t="shared" si="3"/>
        <v>0.018</v>
      </c>
      <c r="O22" s="88">
        <f>'Proyección ±500'!F45</f>
        <v>50</v>
      </c>
    </row>
    <row r="23" ht="39.0" customHeight="1">
      <c r="A23" s="26"/>
      <c r="B23" s="78" t="s">
        <v>292</v>
      </c>
      <c r="C23" s="77" t="s">
        <v>18</v>
      </c>
      <c r="D23" s="77" t="s">
        <v>18</v>
      </c>
      <c r="E23" s="77" t="s">
        <v>18</v>
      </c>
      <c r="F23" s="77" t="s">
        <v>19</v>
      </c>
      <c r="G23" s="77" t="s">
        <v>20</v>
      </c>
      <c r="H23" s="85">
        <f>COUNTIFS('Detalle por mesa'!$B:$B,$B23,'Detalle por mesa'!$I:$I,"Principal")+COUNTIFS('Detalle por mesa'!$B:$B,$B23,'Detalle por mesa'!$I:$I,"Secundario")</f>
        <v>1</v>
      </c>
      <c r="I23" s="85">
        <f>COUNTIF('Detalle por mesa'!$B:$B,$B23)</f>
        <v>10</v>
      </c>
      <c r="J23" s="85">
        <f>COUNTIFS('Detalle por mesa'!$B:$B,$B23,'Detalle por mesa'!$G:$G,"Principal")</f>
        <v>5</v>
      </c>
      <c r="K23" s="85">
        <f>COUNTIFS('Detalle por mesa'!$B:$B,$B23,'Detalle por mesa'!$G:$G,"Secundario")</f>
        <v>5</v>
      </c>
      <c r="L23" s="77" t="s">
        <v>491</v>
      </c>
      <c r="M23" s="88">
        <v>80.0</v>
      </c>
      <c r="N23" s="89">
        <f t="shared" si="3"/>
        <v>0.032</v>
      </c>
      <c r="O23" s="88">
        <f>'Proyección ±500'!F46</f>
        <v>95</v>
      </c>
    </row>
    <row r="24" ht="39.0" customHeight="1">
      <c r="A24" s="26"/>
      <c r="B24" s="78" t="s">
        <v>295</v>
      </c>
      <c r="C24" s="77" t="s">
        <v>18</v>
      </c>
      <c r="D24" s="77" t="s">
        <v>18</v>
      </c>
      <c r="E24" s="77" t="s">
        <v>18</v>
      </c>
      <c r="F24" s="77" t="s">
        <v>407</v>
      </c>
      <c r="G24" s="77" t="s">
        <v>19</v>
      </c>
      <c r="H24" s="85">
        <f>COUNTIFS('Detalle por mesa'!$B:$B,$B24,'Detalle por mesa'!$I:$I,"Principal")+COUNTIFS('Detalle por mesa'!$B:$B,$B24,'Detalle por mesa'!$I:$I,"Secundario")</f>
        <v>3</v>
      </c>
      <c r="I24" s="85">
        <f>COUNTIF('Detalle por mesa'!$B:$B,$B24)</f>
        <v>11</v>
      </c>
      <c r="J24" s="85">
        <f>COUNTIFS('Detalle por mesa'!$B:$B,$B24,'Detalle por mesa'!$G:$G,"Principal")</f>
        <v>6</v>
      </c>
      <c r="K24" s="85">
        <f>COUNTIFS('Detalle por mesa'!$B:$B,$B24,'Detalle por mesa'!$G:$G,"Secundario")</f>
        <v>5</v>
      </c>
      <c r="L24" s="77" t="s">
        <v>496</v>
      </c>
      <c r="M24" s="88">
        <v>100.0</v>
      </c>
      <c r="N24" s="89">
        <f t="shared" si="3"/>
        <v>0.04</v>
      </c>
      <c r="O24" s="88">
        <f>'Proyección ±500'!F47</f>
        <v>125</v>
      </c>
    </row>
    <row r="25" ht="39.0" customHeight="1">
      <c r="A25" s="26"/>
      <c r="B25" s="78" t="s">
        <v>298</v>
      </c>
      <c r="C25" s="77" t="s">
        <v>18</v>
      </c>
      <c r="D25" s="77" t="s">
        <v>18</v>
      </c>
      <c r="E25" s="77" t="s">
        <v>18</v>
      </c>
      <c r="F25" s="77" t="s">
        <v>455</v>
      </c>
      <c r="G25" s="77" t="s">
        <v>497</v>
      </c>
      <c r="H25" s="85">
        <f>COUNTIFS('Detalle por mesa'!$B:$B,$B25,'Detalle por mesa'!$I:$I,"Principal")+COUNTIFS('Detalle por mesa'!$B:$B,$B25,'Detalle por mesa'!$I:$I,"Secundario")</f>
        <v>4</v>
      </c>
      <c r="I25" s="85">
        <f>COUNTIF('Detalle por mesa'!$B:$B,$B25)</f>
        <v>10</v>
      </c>
      <c r="J25" s="85">
        <f>COUNTIFS('Detalle por mesa'!$B:$B,$B25,'Detalle por mesa'!$G:$G,"Principal")</f>
        <v>5</v>
      </c>
      <c r="K25" s="85">
        <f>COUNTIFS('Detalle por mesa'!$B:$B,$B25,'Detalle por mesa'!$G:$G,"Secundario")</f>
        <v>5</v>
      </c>
      <c r="L25" s="77" t="s">
        <v>498</v>
      </c>
      <c r="M25" s="88">
        <v>60.0</v>
      </c>
      <c r="N25" s="89">
        <f t="shared" si="3"/>
        <v>0.024</v>
      </c>
      <c r="O25" s="88">
        <f>'Proyección ±500'!F48</f>
        <v>70</v>
      </c>
    </row>
    <row r="26" ht="39.0" customHeight="1">
      <c r="A26" s="26"/>
      <c r="B26" s="78" t="s">
        <v>301</v>
      </c>
      <c r="C26" s="77" t="s">
        <v>18</v>
      </c>
      <c r="D26" s="77" t="s">
        <v>18</v>
      </c>
      <c r="E26" s="77" t="s">
        <v>18</v>
      </c>
      <c r="F26" s="77" t="s">
        <v>19</v>
      </c>
      <c r="G26" s="77" t="s">
        <v>48</v>
      </c>
      <c r="H26" s="85">
        <f>COUNTIFS('Detalle por mesa'!$B:$B,$B26,'Detalle por mesa'!$I:$I,"Principal")+COUNTIFS('Detalle por mesa'!$B:$B,$B26,'Detalle por mesa'!$I:$I,"Secundario")</f>
        <v>2</v>
      </c>
      <c r="I26" s="85">
        <f>COUNTIF('Detalle por mesa'!$B:$B,$B26)</f>
        <v>8</v>
      </c>
      <c r="J26" s="85">
        <f>COUNTIFS('Detalle por mesa'!$B:$B,$B26,'Detalle por mesa'!$G:$G,"Principal")</f>
        <v>3</v>
      </c>
      <c r="K26" s="85">
        <f>COUNTIFS('Detalle por mesa'!$B:$B,$B26,'Detalle por mesa'!$G:$G,"Secundario")</f>
        <v>5</v>
      </c>
      <c r="L26" s="77" t="s">
        <v>508</v>
      </c>
      <c r="M26" s="88">
        <v>80.0</v>
      </c>
      <c r="N26" s="89">
        <f t="shared" si="3"/>
        <v>0.032</v>
      </c>
      <c r="O26" s="88">
        <f>'Proyección ±500'!F49</f>
        <v>100</v>
      </c>
    </row>
    <row r="27" ht="51.75" customHeight="1">
      <c r="A27" s="32"/>
      <c r="B27" s="92" t="s">
        <v>311</v>
      </c>
      <c r="C27" s="77" t="s">
        <v>18</v>
      </c>
      <c r="D27" s="77" t="s">
        <v>18</v>
      </c>
      <c r="E27" s="77" t="s">
        <v>18</v>
      </c>
      <c r="F27" s="77" t="s">
        <v>407</v>
      </c>
      <c r="G27" s="77" t="s">
        <v>509</v>
      </c>
      <c r="H27" s="85">
        <f>COUNTIFS('Detalle por mesa'!$B:$B,$B27,'Detalle por mesa'!$I:$I,"Principal")+COUNTIFS('Detalle por mesa'!$B:$B,$B27,'Detalle por mesa'!$I:$I,"Secundario")</f>
        <v>3</v>
      </c>
      <c r="I27" s="85">
        <f>COUNTIF('Detalle por mesa'!$B:$B,$B27)</f>
        <v>10</v>
      </c>
      <c r="J27" s="85">
        <f>COUNTIFS('Detalle por mesa'!$B:$B,$B27,'Detalle por mesa'!$G:$G,"Principal")</f>
        <v>5</v>
      </c>
      <c r="K27" s="85">
        <f>COUNTIFS('Detalle por mesa'!$B:$B,$B27,'Detalle por mesa'!$G:$G,"Secundario")</f>
        <v>5</v>
      </c>
      <c r="L27" s="77" t="s">
        <v>512</v>
      </c>
      <c r="M27" s="88">
        <v>55.0</v>
      </c>
      <c r="N27" s="89">
        <f t="shared" si="3"/>
        <v>0.022</v>
      </c>
      <c r="O27" s="88">
        <f>'Proyección ±500'!F50</f>
        <v>65</v>
      </c>
    </row>
    <row r="28" ht="15.75" customHeight="1"/>
    <row r="29" ht="39.0" customHeight="1">
      <c r="A29" s="93" t="s">
        <v>226</v>
      </c>
      <c r="B29" s="83" t="s">
        <v>328</v>
      </c>
      <c r="C29" s="82" t="s">
        <v>18</v>
      </c>
      <c r="D29" s="82" t="s">
        <v>18</v>
      </c>
      <c r="E29" s="82" t="s">
        <v>18</v>
      </c>
      <c r="F29" s="82" t="s">
        <v>19</v>
      </c>
      <c r="G29" s="82" t="s">
        <v>513</v>
      </c>
      <c r="H29" s="94">
        <f>COUNTIFS('Detalle por mesa'!$B:$B,$B29,'Detalle por mesa'!$I:$I,"Principal")+COUNTIFS('Detalle por mesa'!$B:$B,$B29,'Detalle por mesa'!$I:$I,"Secundario")</f>
        <v>0</v>
      </c>
      <c r="I29" s="94">
        <f>COUNTIF('Detalle por mesa'!$B:$B,$B29)</f>
        <v>6</v>
      </c>
      <c r="J29" s="94">
        <f>COUNTIFS('Detalle por mesa'!$B:$B,$B29,'Detalle por mesa'!$G:$G,"Principal")</f>
        <v>3</v>
      </c>
      <c r="K29" s="94">
        <f>COUNTIFS('Detalle por mesa'!$B:$B,$B29,'Detalle por mesa'!$G:$G,"Secundario")</f>
        <v>3</v>
      </c>
      <c r="L29" s="82" t="s">
        <v>514</v>
      </c>
      <c r="M29" s="95">
        <v>30.0</v>
      </c>
      <c r="N29" s="96">
        <f t="shared" ref="N29:N40" si="4">M29/$M$42</f>
        <v>0.012</v>
      </c>
      <c r="O29" s="95">
        <f>'Proyección ±500'!F53</f>
        <v>35</v>
      </c>
    </row>
    <row r="30" ht="30.0" customHeight="1">
      <c r="A30" s="26"/>
      <c r="B30" s="83" t="s">
        <v>388</v>
      </c>
      <c r="C30" s="82" t="s">
        <v>18</v>
      </c>
      <c r="D30" s="82" t="s">
        <v>18</v>
      </c>
      <c r="E30" s="82" t="s">
        <v>18</v>
      </c>
      <c r="F30" s="82" t="s">
        <v>19</v>
      </c>
      <c r="G30" s="82" t="s">
        <v>515</v>
      </c>
      <c r="H30" s="94">
        <f>COUNTIFS('Detalle por mesa'!$B:$B,$B30,'Detalle por mesa'!$I:$I,"Principal")+COUNTIFS('Detalle por mesa'!$B:$B,$B30,'Detalle por mesa'!$I:$I,"Secundario")</f>
        <v>0</v>
      </c>
      <c r="I30" s="94">
        <f>COUNTIF('Detalle por mesa'!$B:$B,$B30)</f>
        <v>6</v>
      </c>
      <c r="J30" s="94">
        <f>COUNTIFS('Detalle por mesa'!$B:$B,$B30,'Detalle por mesa'!$G:$G,"Principal")</f>
        <v>1</v>
      </c>
      <c r="K30" s="94">
        <f>COUNTIFS('Detalle por mesa'!$B:$B,$B30,'Detalle por mesa'!$G:$G,"Secundario")</f>
        <v>5</v>
      </c>
      <c r="L30" s="82" t="s">
        <v>303</v>
      </c>
      <c r="M30" s="95">
        <v>30.0</v>
      </c>
      <c r="N30" s="96">
        <f t="shared" si="4"/>
        <v>0.012</v>
      </c>
      <c r="O30" s="95">
        <f>'Proyección ±500'!F54</f>
        <v>35</v>
      </c>
    </row>
    <row r="31" ht="30.0" customHeight="1">
      <c r="A31" s="26"/>
      <c r="B31" s="83" t="s">
        <v>389</v>
      </c>
      <c r="C31" s="82" t="s">
        <v>18</v>
      </c>
      <c r="D31" s="82" t="s">
        <v>18</v>
      </c>
      <c r="E31" s="82" t="s">
        <v>18</v>
      </c>
      <c r="F31" s="82" t="s">
        <v>515</v>
      </c>
      <c r="G31" s="82" t="s">
        <v>48</v>
      </c>
      <c r="H31" s="94">
        <f>COUNTIFS('Detalle por mesa'!$B:$B,$B31,'Detalle por mesa'!$I:$I,"Principal")+COUNTIFS('Detalle por mesa'!$B:$B,$B31,'Detalle por mesa'!$I:$I,"Secundario")</f>
        <v>1</v>
      </c>
      <c r="I31" s="94">
        <f>COUNTIF('Detalle por mesa'!$B:$B,$B31)</f>
        <v>6</v>
      </c>
      <c r="J31" s="94">
        <f>COUNTIFS('Detalle por mesa'!$B:$B,$B31,'Detalle por mesa'!$G:$G,"Principal")</f>
        <v>2</v>
      </c>
      <c r="K31" s="94">
        <f>COUNTIFS('Detalle por mesa'!$B:$B,$B31,'Detalle por mesa'!$G:$G,"Secundario")</f>
        <v>4</v>
      </c>
      <c r="L31" s="82" t="s">
        <v>534</v>
      </c>
      <c r="M31" s="95">
        <v>30.0</v>
      </c>
      <c r="N31" s="96">
        <f t="shared" si="4"/>
        <v>0.012</v>
      </c>
      <c r="O31" s="95">
        <f>'Proyección ±500'!F55</f>
        <v>35</v>
      </c>
    </row>
    <row r="32" ht="51.75" customHeight="1">
      <c r="A32" s="26"/>
      <c r="B32" s="83" t="s">
        <v>390</v>
      </c>
      <c r="C32" s="82" t="s">
        <v>18</v>
      </c>
      <c r="D32" s="82" t="s">
        <v>18</v>
      </c>
      <c r="E32" s="82" t="s">
        <v>18</v>
      </c>
      <c r="F32" s="82" t="s">
        <v>19</v>
      </c>
      <c r="G32" s="82" t="s">
        <v>513</v>
      </c>
      <c r="H32" s="94">
        <f>COUNTIFS('Detalle por mesa'!$B:$B,$B32,'Detalle por mesa'!$I:$I,"Principal")+COUNTIFS('Detalle por mesa'!$B:$B,$B32,'Detalle por mesa'!$I:$I,"Secundario")</f>
        <v>0</v>
      </c>
      <c r="I32" s="94">
        <f>COUNTIF('Detalle por mesa'!$B:$B,$B32)</f>
        <v>15</v>
      </c>
      <c r="J32" s="94">
        <f>COUNTIFS('Detalle por mesa'!$B:$B,$B32,'Detalle por mesa'!$G:$G,"Principal")</f>
        <v>6</v>
      </c>
      <c r="K32" s="94">
        <f>COUNTIFS('Detalle por mesa'!$B:$B,$B32,'Detalle por mesa'!$G:$G,"Secundario")</f>
        <v>9</v>
      </c>
      <c r="L32" s="82" t="s">
        <v>544</v>
      </c>
      <c r="M32" s="95">
        <v>35.0</v>
      </c>
      <c r="N32" s="96">
        <f t="shared" si="4"/>
        <v>0.014</v>
      </c>
      <c r="O32" s="95">
        <f>'Proyección ±500'!F56</f>
        <v>40</v>
      </c>
    </row>
    <row r="33" ht="51.75" customHeight="1">
      <c r="A33" s="26"/>
      <c r="B33" s="83" t="s">
        <v>391</v>
      </c>
      <c r="C33" s="82" t="s">
        <v>18</v>
      </c>
      <c r="D33" s="82" t="s">
        <v>18</v>
      </c>
      <c r="E33" s="82" t="s">
        <v>18</v>
      </c>
      <c r="F33" s="82" t="s">
        <v>513</v>
      </c>
      <c r="G33" s="82" t="s">
        <v>407</v>
      </c>
      <c r="H33" s="94">
        <f>COUNTIFS('Detalle por mesa'!$B:$B,$B33,'Detalle por mesa'!$I:$I,"Principal")+COUNTIFS('Detalle por mesa'!$B:$B,$B33,'Detalle por mesa'!$I:$I,"Secundario")</f>
        <v>2</v>
      </c>
      <c r="I33" s="94">
        <f>COUNTIF('Detalle por mesa'!$B:$B,$B33)</f>
        <v>8</v>
      </c>
      <c r="J33" s="94">
        <f>COUNTIFS('Detalle por mesa'!$B:$B,$B33,'Detalle por mesa'!$G:$G,"Principal")</f>
        <v>5</v>
      </c>
      <c r="K33" s="94">
        <f>COUNTIFS('Detalle por mesa'!$B:$B,$B33,'Detalle por mesa'!$G:$G,"Secundario")</f>
        <v>3</v>
      </c>
      <c r="L33" s="82" t="s">
        <v>556</v>
      </c>
      <c r="M33" s="95">
        <v>30.0</v>
      </c>
      <c r="N33" s="96">
        <f t="shared" si="4"/>
        <v>0.012</v>
      </c>
      <c r="O33" s="95">
        <f>'Proyección ±500'!F57</f>
        <v>35</v>
      </c>
    </row>
    <row r="34" ht="51.75" customHeight="1">
      <c r="A34" s="26"/>
      <c r="B34" s="83" t="s">
        <v>392</v>
      </c>
      <c r="C34" s="82" t="s">
        <v>18</v>
      </c>
      <c r="D34" s="82" t="s">
        <v>18</v>
      </c>
      <c r="E34" s="82" t="s">
        <v>18</v>
      </c>
      <c r="F34" s="82" t="s">
        <v>151</v>
      </c>
      <c r="G34" s="82" t="s">
        <v>557</v>
      </c>
      <c r="H34" s="94">
        <f>COUNTIFS('Detalle por mesa'!$B:$B,$B34,'Detalle por mesa'!$I:$I,"Principal")+COUNTIFS('Detalle por mesa'!$B:$B,$B34,'Detalle por mesa'!$I:$I,"Secundario")</f>
        <v>1</v>
      </c>
      <c r="I34" s="94">
        <f>COUNTIF('Detalle por mesa'!$B:$B,$B34)</f>
        <v>11</v>
      </c>
      <c r="J34" s="94">
        <f>COUNTIFS('Detalle por mesa'!$B:$B,$B34,'Detalle por mesa'!$G:$G,"Principal")</f>
        <v>5</v>
      </c>
      <c r="K34" s="94">
        <f>COUNTIFS('Detalle por mesa'!$B:$B,$B34,'Detalle por mesa'!$G:$G,"Secundario")</f>
        <v>6</v>
      </c>
      <c r="L34" s="82" t="s">
        <v>558</v>
      </c>
      <c r="M34" s="95">
        <v>35.0</v>
      </c>
      <c r="N34" s="96">
        <f t="shared" si="4"/>
        <v>0.014</v>
      </c>
      <c r="O34" s="95">
        <f>'Proyección ±500'!F58</f>
        <v>40</v>
      </c>
    </row>
    <row r="35" ht="51.75" customHeight="1">
      <c r="A35" s="26"/>
      <c r="B35" s="83" t="s">
        <v>393</v>
      </c>
      <c r="C35" s="82" t="s">
        <v>18</v>
      </c>
      <c r="D35" s="82" t="s">
        <v>18</v>
      </c>
      <c r="E35" s="82" t="s">
        <v>18</v>
      </c>
      <c r="F35" s="82" t="s">
        <v>407</v>
      </c>
      <c r="G35" s="82" t="s">
        <v>48</v>
      </c>
      <c r="H35" s="94">
        <f>COUNTIFS('Detalle por mesa'!$B:$B,$B35,'Detalle por mesa'!$I:$I,"Principal")+COUNTIFS('Detalle por mesa'!$B:$B,$B35,'Detalle por mesa'!$I:$I,"Secundario")</f>
        <v>6</v>
      </c>
      <c r="I35" s="94">
        <f>COUNTIF('Detalle por mesa'!$B:$B,$B35)</f>
        <v>38</v>
      </c>
      <c r="J35" s="94">
        <f>COUNTIFS('Detalle por mesa'!$B:$B,$B35,'Detalle por mesa'!$G:$G,"Principal")</f>
        <v>24</v>
      </c>
      <c r="K35" s="94">
        <f>COUNTIFS('Detalle por mesa'!$B:$B,$B35,'Detalle por mesa'!$G:$G,"Secundario")</f>
        <v>14</v>
      </c>
      <c r="L35" s="82" t="s">
        <v>559</v>
      </c>
      <c r="M35" s="95">
        <v>40.0</v>
      </c>
      <c r="N35" s="96">
        <f t="shared" si="4"/>
        <v>0.016</v>
      </c>
      <c r="O35" s="95">
        <f>'Proyección ±500'!F59</f>
        <v>50</v>
      </c>
    </row>
    <row r="36" ht="33.0" customHeight="1">
      <c r="A36" s="26"/>
      <c r="B36" s="83" t="s">
        <v>403</v>
      </c>
      <c r="C36" s="82" t="s">
        <v>18</v>
      </c>
      <c r="D36" s="82" t="s">
        <v>18</v>
      </c>
      <c r="E36" s="82" t="s">
        <v>18</v>
      </c>
      <c r="F36" s="82" t="s">
        <v>151</v>
      </c>
      <c r="G36" s="82" t="s">
        <v>455</v>
      </c>
      <c r="H36" s="94">
        <f>COUNTIFS('Detalle por mesa'!$B:$B,$B36,'Detalle por mesa'!$I:$I,"Principal")+COUNTIFS('Detalle por mesa'!$B:$B,$B36,'Detalle por mesa'!$I:$I,"Secundario")</f>
        <v>12</v>
      </c>
      <c r="I36" s="94">
        <f>COUNTIF('Detalle por mesa'!$B:$B,$B36)</f>
        <v>24</v>
      </c>
      <c r="J36" s="94">
        <f>COUNTIFS('Detalle por mesa'!$B:$B,$B36,'Detalle por mesa'!$G:$G,"Principal")</f>
        <v>15</v>
      </c>
      <c r="K36" s="94">
        <f>COUNTIFS('Detalle por mesa'!$B:$B,$B36,'Detalle por mesa'!$G:$G,"Secundario")</f>
        <v>9</v>
      </c>
      <c r="L36" s="82" t="s">
        <v>560</v>
      </c>
      <c r="M36" s="95">
        <v>40.0</v>
      </c>
      <c r="N36" s="96">
        <f t="shared" si="4"/>
        <v>0.016</v>
      </c>
      <c r="O36" s="95">
        <f>'Proyección ±500'!F60</f>
        <v>50</v>
      </c>
    </row>
    <row r="37" ht="51.75" customHeight="1">
      <c r="A37" s="26"/>
      <c r="B37" s="83" t="s">
        <v>404</v>
      </c>
      <c r="C37" s="82" t="s">
        <v>18</v>
      </c>
      <c r="D37" s="82" t="s">
        <v>18</v>
      </c>
      <c r="E37" s="82" t="s">
        <v>18</v>
      </c>
      <c r="F37" s="82" t="s">
        <v>513</v>
      </c>
      <c r="G37" s="82" t="s">
        <v>48</v>
      </c>
      <c r="H37" s="94">
        <f>COUNTIFS('Detalle por mesa'!$B:$B,$B37,'Detalle por mesa'!$I:$I,"Principal")+COUNTIFS('Detalle por mesa'!$B:$B,$B37,'Detalle por mesa'!$I:$I,"Secundario")</f>
        <v>0</v>
      </c>
      <c r="I37" s="94">
        <f>COUNTIF('Detalle por mesa'!$B:$B,$B37)</f>
        <v>28</v>
      </c>
      <c r="J37" s="94">
        <f>COUNTIFS('Detalle por mesa'!$B:$B,$B37,'Detalle por mesa'!$G:$G,"Principal")</f>
        <v>21</v>
      </c>
      <c r="K37" s="94">
        <f>COUNTIFS('Detalle por mesa'!$B:$B,$B37,'Detalle por mesa'!$G:$G,"Secundario")</f>
        <v>7</v>
      </c>
      <c r="L37" s="82" t="s">
        <v>562</v>
      </c>
      <c r="M37" s="95">
        <v>40.0</v>
      </c>
      <c r="N37" s="96">
        <f t="shared" si="4"/>
        <v>0.016</v>
      </c>
      <c r="O37" s="95">
        <f>'Proyección ±500'!F61</f>
        <v>50</v>
      </c>
    </row>
    <row r="38" ht="51.75" customHeight="1">
      <c r="A38" s="26"/>
      <c r="B38" s="83" t="s">
        <v>411</v>
      </c>
      <c r="C38" s="82" t="s">
        <v>18</v>
      </c>
      <c r="D38" s="82" t="s">
        <v>18</v>
      </c>
      <c r="E38" s="82" t="s">
        <v>18</v>
      </c>
      <c r="F38" s="82" t="s">
        <v>455</v>
      </c>
      <c r="G38" s="82" t="s">
        <v>48</v>
      </c>
      <c r="H38" s="94">
        <f>COUNTIFS('Detalle por mesa'!$B:$B,$B38,'Detalle por mesa'!$I:$I,"Principal")+COUNTIFS('Detalle por mesa'!$B:$B,$B38,'Detalle por mesa'!$I:$I,"Secundario")</f>
        <v>2</v>
      </c>
      <c r="I38" s="94">
        <f>COUNTIF('Detalle por mesa'!$B:$B,$B38)</f>
        <v>35</v>
      </c>
      <c r="J38" s="94">
        <f>COUNTIFS('Detalle por mesa'!$B:$B,$B38,'Detalle por mesa'!$G:$G,"Principal")</f>
        <v>23</v>
      </c>
      <c r="K38" s="94">
        <f>COUNTIFS('Detalle por mesa'!$B:$B,$B38,'Detalle por mesa'!$G:$G,"Secundario")</f>
        <v>12</v>
      </c>
      <c r="L38" s="82" t="s">
        <v>563</v>
      </c>
      <c r="M38" s="95">
        <v>45.0</v>
      </c>
      <c r="N38" s="96">
        <f t="shared" si="4"/>
        <v>0.018</v>
      </c>
      <c r="O38" s="95">
        <f>'Proyección ±500'!F62</f>
        <v>55</v>
      </c>
    </row>
    <row r="39" ht="39.0" customHeight="1">
      <c r="A39" s="26"/>
      <c r="B39" s="83" t="s">
        <v>419</v>
      </c>
      <c r="C39" s="82" t="s">
        <v>18</v>
      </c>
      <c r="D39" s="82" t="s">
        <v>18</v>
      </c>
      <c r="E39" s="82" t="s">
        <v>18</v>
      </c>
      <c r="F39" s="82" t="s">
        <v>455</v>
      </c>
      <c r="G39" s="82" t="s">
        <v>564</v>
      </c>
      <c r="H39" s="94">
        <f>COUNTIFS('Detalle por mesa'!$B:$B,$B39,'Detalle por mesa'!$I:$I,"Principal")+COUNTIFS('Detalle por mesa'!$B:$B,$B39,'Detalle por mesa'!$I:$I,"Secundario")</f>
        <v>2</v>
      </c>
      <c r="I39" s="94">
        <f>COUNTIF('Detalle por mesa'!$B:$B,$B39)</f>
        <v>17</v>
      </c>
      <c r="J39" s="94">
        <f>COUNTIFS('Detalle por mesa'!$B:$B,$B39,'Detalle por mesa'!$G:$G,"Principal")</f>
        <v>11</v>
      </c>
      <c r="K39" s="94">
        <f>COUNTIFS('Detalle por mesa'!$B:$B,$B39,'Detalle por mesa'!$G:$G,"Secundario")</f>
        <v>6</v>
      </c>
      <c r="L39" s="82" t="s">
        <v>565</v>
      </c>
      <c r="M39" s="95">
        <v>35.0</v>
      </c>
      <c r="N39" s="96">
        <f t="shared" si="4"/>
        <v>0.014</v>
      </c>
      <c r="O39" s="95">
        <f>'Proyección ±500'!F63</f>
        <v>45</v>
      </c>
    </row>
    <row r="40" ht="30.0" customHeight="1">
      <c r="A40" s="32"/>
      <c r="B40" s="97" t="s">
        <v>420</v>
      </c>
      <c r="C40" s="82" t="s">
        <v>18</v>
      </c>
      <c r="D40" s="82" t="s">
        <v>18</v>
      </c>
      <c r="E40" s="82" t="s">
        <v>18</v>
      </c>
      <c r="F40" s="82" t="s">
        <v>566</v>
      </c>
      <c r="G40" s="82" t="s">
        <v>48</v>
      </c>
      <c r="H40" s="94">
        <f>COUNTIFS('Detalle por mesa'!$B:$B,$B40,'Detalle por mesa'!$I:$I,"Principal")+COUNTIFS('Detalle por mesa'!$B:$B,$B40,'Detalle por mesa'!$I:$I,"Secundario")</f>
        <v>0</v>
      </c>
      <c r="I40" s="94">
        <f>COUNTIF('Detalle por mesa'!$B:$B,$B40)</f>
        <v>5</v>
      </c>
      <c r="J40" s="94">
        <f>COUNTIFS('Detalle por mesa'!$B:$B,$B40,'Detalle por mesa'!$G:$G,"Principal")</f>
        <v>1</v>
      </c>
      <c r="K40" s="94">
        <f>COUNTIFS('Detalle por mesa'!$B:$B,$B40,'Detalle por mesa'!$G:$G,"Secundario")</f>
        <v>4</v>
      </c>
      <c r="L40" s="82" t="s">
        <v>318</v>
      </c>
      <c r="M40" s="95">
        <v>30.0</v>
      </c>
      <c r="N40" s="96">
        <f t="shared" si="4"/>
        <v>0.012</v>
      </c>
      <c r="O40" s="95">
        <f>'Proyección ±500'!F64</f>
        <v>35</v>
      </c>
    </row>
    <row r="41" ht="15.75" customHeight="1"/>
    <row r="42" ht="15.75" customHeight="1">
      <c r="A42" s="98" t="s">
        <v>567</v>
      </c>
      <c r="B42" s="99">
        <f>COUNTA(B3:B40)</f>
        <v>35</v>
      </c>
      <c r="H42" s="100">
        <f t="shared" ref="H42:K42" si="5">SUM(H3:H40)</f>
        <v>105</v>
      </c>
      <c r="I42" s="100">
        <f t="shared" si="5"/>
        <v>476</v>
      </c>
      <c r="J42" s="100">
        <f t="shared" si="5"/>
        <v>233</v>
      </c>
      <c r="K42" s="100">
        <f t="shared" si="5"/>
        <v>243</v>
      </c>
      <c r="M42" s="103">
        <f>SUM(M3:M40)</f>
        <v>2500</v>
      </c>
      <c r="O42" s="103">
        <f>SUM(O3:O40)</f>
        <v>3000</v>
      </c>
    </row>
    <row r="43" ht="15.75" customHeight="1">
      <c r="A43" s="104" t="s">
        <v>580</v>
      </c>
    </row>
    <row r="44" ht="15.75" customHeight="1">
      <c r="A44" s="105" t="s">
        <v>15</v>
      </c>
      <c r="B44" s="106">
        <f>COUNTA(B3:B5)</f>
        <v>3</v>
      </c>
    </row>
    <row r="45" ht="15.75" customHeight="1">
      <c r="A45" s="105" t="s">
        <v>130</v>
      </c>
      <c r="B45" s="106">
        <f>COUNTA(B7:B17)</f>
        <v>11</v>
      </c>
    </row>
    <row r="46" ht="15.75" customHeight="1">
      <c r="A46" s="105" t="s">
        <v>223</v>
      </c>
      <c r="B46" s="106">
        <f>COUNTA(B19:B27)</f>
        <v>9</v>
      </c>
    </row>
    <row r="47" ht="15.75" customHeight="1">
      <c r="A47" s="105" t="s">
        <v>226</v>
      </c>
      <c r="B47" s="106">
        <f>COUNTA(B29:B40)</f>
        <v>12</v>
      </c>
    </row>
    <row r="48" ht="15.75" customHeight="1"/>
    <row r="49" ht="15.75" customHeight="1"/>
    <row r="50" ht="15.75" customHeight="1">
      <c r="A50" s="104" t="s">
        <v>597</v>
      </c>
    </row>
    <row r="51" ht="15.75" customHeight="1">
      <c r="A51" s="105" t="s">
        <v>19</v>
      </c>
      <c r="B51" s="106">
        <f t="shared" ref="B51:B57" si="6">COUNTIF($F$3:$F$40,A51)</f>
        <v>22</v>
      </c>
    </row>
    <row r="52" ht="15.75" customHeight="1">
      <c r="A52" s="105" t="s">
        <v>513</v>
      </c>
      <c r="B52" s="106">
        <f t="shared" si="6"/>
        <v>2</v>
      </c>
    </row>
    <row r="53" ht="15.75" customHeight="1">
      <c r="A53" s="105" t="s">
        <v>407</v>
      </c>
      <c r="B53" s="106">
        <f t="shared" si="6"/>
        <v>4</v>
      </c>
    </row>
    <row r="54" ht="15.75" customHeight="1">
      <c r="A54" s="105" t="s">
        <v>455</v>
      </c>
      <c r="B54" s="106">
        <f t="shared" si="6"/>
        <v>3</v>
      </c>
    </row>
    <row r="55" ht="15.75" customHeight="1">
      <c r="A55" s="105" t="s">
        <v>566</v>
      </c>
      <c r="B55" s="106">
        <f t="shared" si="6"/>
        <v>1</v>
      </c>
    </row>
    <row r="56" ht="15.75" customHeight="1">
      <c r="A56" s="105" t="s">
        <v>151</v>
      </c>
      <c r="B56" s="106">
        <f t="shared" si="6"/>
        <v>2</v>
      </c>
    </row>
    <row r="57" ht="15.75" customHeight="1">
      <c r="A57" s="105" t="s">
        <v>515</v>
      </c>
      <c r="B57" s="106">
        <f t="shared" si="6"/>
        <v>1</v>
      </c>
    </row>
    <row r="58" ht="15.75" customHeight="1">
      <c r="A58" s="104" t="s">
        <v>598</v>
      </c>
      <c r="B58" s="106">
        <f>COUNTIF($H$3:$H$40,"&gt;0")</f>
        <v>30</v>
      </c>
      <c r="C58" s="107" t="s">
        <v>599</v>
      </c>
    </row>
    <row r="59" ht="25.5" customHeight="1">
      <c r="A59" s="108" t="s">
        <v>600</v>
      </c>
    </row>
    <row r="60" ht="25.5" customHeight="1">
      <c r="A60" s="108" t="s">
        <v>601</v>
      </c>
    </row>
    <row r="61" ht="25.5" customHeight="1">
      <c r="A61" s="108" t="s">
        <v>602</v>
      </c>
    </row>
    <row r="62" ht="25.5" customHeight="1">
      <c r="A62" s="108" t="s">
        <v>604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0:O60"/>
    <mergeCell ref="A61:O61"/>
    <mergeCell ref="A62:O62"/>
    <mergeCell ref="A1:O1"/>
    <mergeCell ref="A2:B2"/>
    <mergeCell ref="A3:A5"/>
    <mergeCell ref="A7:A17"/>
    <mergeCell ref="A19:A27"/>
    <mergeCell ref="A29:A40"/>
    <mergeCell ref="A59:O5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2.0"/>
    <col customWidth="1" min="2" max="2" width="44.0"/>
    <col customWidth="1" min="3" max="3" width="18.0"/>
    <col customWidth="1" min="4" max="4" width="30.0"/>
    <col customWidth="1" min="5" max="5" width="11.0"/>
    <col customWidth="1" min="6" max="6" width="16.0"/>
    <col customWidth="1" min="7" max="7" width="14.0"/>
    <col customWidth="1" min="8" max="8" width="13.0"/>
    <col customWidth="1" min="9" max="9" width="70.0"/>
  </cols>
  <sheetData>
    <row r="1" ht="27.75" customHeight="1">
      <c r="A1" s="9" t="s">
        <v>77</v>
      </c>
    </row>
    <row r="2" ht="25.5" customHeight="1">
      <c r="A2" s="24" t="s">
        <v>82</v>
      </c>
    </row>
    <row r="3" ht="15.0" customHeight="1">
      <c r="A3" s="2" t="s">
        <v>34</v>
      </c>
      <c r="B3" s="3"/>
      <c r="C3" s="4" t="s">
        <v>42</v>
      </c>
      <c r="D3" s="2" t="s">
        <v>46</v>
      </c>
      <c r="E3" s="27"/>
      <c r="F3" s="27"/>
      <c r="G3" s="27"/>
      <c r="H3" s="27"/>
      <c r="I3" s="27"/>
    </row>
    <row r="4" ht="13.5" customHeight="1">
      <c r="A4" s="28" t="s">
        <v>87</v>
      </c>
      <c r="B4" s="3"/>
      <c r="C4" s="29">
        <v>2500.0</v>
      </c>
      <c r="D4" s="35" t="s">
        <v>90</v>
      </c>
      <c r="E4" s="27"/>
      <c r="F4" s="27"/>
      <c r="G4" s="27"/>
      <c r="H4" s="27"/>
      <c r="I4" s="3"/>
    </row>
    <row r="5" ht="13.5" customHeight="1">
      <c r="A5" s="35" t="s">
        <v>106</v>
      </c>
      <c r="B5" s="3"/>
      <c r="C5" s="38">
        <v>350.0</v>
      </c>
      <c r="D5" s="35" t="s">
        <v>107</v>
      </c>
      <c r="E5" s="27"/>
      <c r="F5" s="27"/>
      <c r="G5" s="27"/>
      <c r="H5" s="27"/>
      <c r="I5" s="3"/>
    </row>
    <row r="6" ht="13.5" customHeight="1">
      <c r="A6" s="35" t="s">
        <v>109</v>
      </c>
      <c r="B6" s="3"/>
      <c r="C6" s="38">
        <v>400.0</v>
      </c>
      <c r="D6" s="35" t="s">
        <v>111</v>
      </c>
      <c r="E6" s="27"/>
      <c r="F6" s="27"/>
      <c r="G6" s="27"/>
      <c r="H6" s="27"/>
      <c r="I6" s="3"/>
    </row>
    <row r="7" ht="13.5" customHeight="1">
      <c r="A7" s="35" t="s">
        <v>115</v>
      </c>
      <c r="B7" s="3"/>
      <c r="C7" s="38">
        <v>350.0</v>
      </c>
      <c r="D7" s="35" t="s">
        <v>107</v>
      </c>
      <c r="E7" s="27"/>
      <c r="F7" s="27"/>
      <c r="G7" s="27"/>
      <c r="H7" s="27"/>
      <c r="I7" s="3"/>
    </row>
    <row r="8" ht="13.5" customHeight="1">
      <c r="A8" s="28" t="s">
        <v>126</v>
      </c>
      <c r="B8" s="3"/>
      <c r="C8" s="42">
        <f>SUM(C5:C7)</f>
        <v>1100</v>
      </c>
      <c r="D8" s="35" t="s">
        <v>142</v>
      </c>
      <c r="E8" s="27"/>
      <c r="F8" s="27"/>
      <c r="G8" s="27"/>
      <c r="H8" s="27"/>
      <c r="I8" s="3"/>
    </row>
    <row r="9" ht="39.75" customHeight="1">
      <c r="A9" s="35" t="s">
        <v>147</v>
      </c>
      <c r="B9" s="3"/>
      <c r="C9" s="38">
        <v>380.0</v>
      </c>
      <c r="D9" s="35" t="s">
        <v>152</v>
      </c>
      <c r="E9" s="27"/>
      <c r="F9" s="27"/>
      <c r="G9" s="27"/>
      <c r="H9" s="27"/>
      <c r="I9" s="3"/>
    </row>
    <row r="10" ht="39.75" customHeight="1">
      <c r="A10" s="35" t="s">
        <v>158</v>
      </c>
      <c r="B10" s="3"/>
      <c r="C10" s="38">
        <v>600.0</v>
      </c>
      <c r="D10" s="35" t="s">
        <v>160</v>
      </c>
      <c r="E10" s="27"/>
      <c r="F10" s="27"/>
      <c r="G10" s="27"/>
      <c r="H10" s="27"/>
      <c r="I10" s="3"/>
    </row>
    <row r="11" ht="13.5" customHeight="1">
      <c r="A11" s="28" t="s">
        <v>161</v>
      </c>
      <c r="B11" s="3"/>
      <c r="C11" s="42">
        <f>C4-C8-C9-C10</f>
        <v>420</v>
      </c>
      <c r="D11" s="35" t="s">
        <v>163</v>
      </c>
      <c r="E11" s="27"/>
      <c r="F11" s="27"/>
      <c r="G11" s="27"/>
      <c r="H11" s="27"/>
      <c r="I11" s="3"/>
    </row>
    <row r="12" ht="13.5" customHeight="1">
      <c r="A12" s="35" t="s">
        <v>164</v>
      </c>
      <c r="B12" s="3"/>
      <c r="C12" s="38">
        <v>20.0</v>
      </c>
      <c r="D12" s="35" t="s">
        <v>166</v>
      </c>
      <c r="E12" s="27"/>
      <c r="F12" s="27"/>
      <c r="G12" s="27"/>
      <c r="H12" s="27"/>
      <c r="I12" s="3"/>
    </row>
    <row r="13" ht="13.5" customHeight="1">
      <c r="A13" s="35" t="s">
        <v>167</v>
      </c>
      <c r="B13" s="3"/>
      <c r="C13" s="38">
        <v>30.0</v>
      </c>
      <c r="D13" s="35" t="s">
        <v>169</v>
      </c>
      <c r="E13" s="27"/>
      <c r="F13" s="27"/>
      <c r="G13" s="27"/>
      <c r="H13" s="27"/>
      <c r="I13" s="3"/>
    </row>
    <row r="14" ht="13.5" customHeight="1">
      <c r="A14" s="35" t="s">
        <v>170</v>
      </c>
      <c r="B14" s="3"/>
      <c r="C14" s="38">
        <v>20.0</v>
      </c>
      <c r="D14" s="35" t="s">
        <v>171</v>
      </c>
      <c r="E14" s="27"/>
      <c r="F14" s="27"/>
      <c r="G14" s="27"/>
      <c r="H14" s="27"/>
      <c r="I14" s="3"/>
    </row>
    <row r="15" ht="13.5" customHeight="1">
      <c r="A15" s="35" t="s">
        <v>175</v>
      </c>
      <c r="B15" s="3"/>
      <c r="C15" s="49">
        <v>1.0</v>
      </c>
      <c r="D15" s="35" t="s">
        <v>176</v>
      </c>
      <c r="E15" s="27"/>
      <c r="F15" s="27"/>
      <c r="G15" s="27"/>
      <c r="H15" s="27"/>
      <c r="I15" s="3"/>
    </row>
    <row r="16" ht="39.75" customHeight="1">
      <c r="A16" s="35" t="s">
        <v>177</v>
      </c>
      <c r="B16" s="3"/>
      <c r="C16" s="49">
        <v>0.5</v>
      </c>
      <c r="D16" s="35" t="s">
        <v>179</v>
      </c>
      <c r="E16" s="27"/>
      <c r="F16" s="27"/>
      <c r="G16" s="27"/>
      <c r="H16" s="27"/>
      <c r="I16" s="3"/>
    </row>
    <row r="17" ht="39.75" customHeight="1">
      <c r="A17" s="35" t="s">
        <v>180</v>
      </c>
      <c r="B17" s="3"/>
      <c r="C17" s="49">
        <v>0.5</v>
      </c>
      <c r="D17" s="35" t="s">
        <v>181</v>
      </c>
      <c r="E17" s="27"/>
      <c r="F17" s="27"/>
      <c r="G17" s="27"/>
      <c r="H17" s="27"/>
      <c r="I17" s="3"/>
    </row>
    <row r="18" ht="13.5" customHeight="1">
      <c r="A18" s="35" t="s">
        <v>182</v>
      </c>
      <c r="B18" s="3"/>
      <c r="C18" s="38">
        <v>1011520.0</v>
      </c>
      <c r="D18" s="35" t="s">
        <v>184</v>
      </c>
      <c r="E18" s="27"/>
      <c r="F18" s="27"/>
      <c r="G18" s="27"/>
      <c r="H18" s="27"/>
      <c r="I18" s="3"/>
    </row>
    <row r="19" ht="13.5" customHeight="1">
      <c r="A19" s="35" t="s">
        <v>185</v>
      </c>
      <c r="B19" s="3"/>
      <c r="C19" s="38">
        <v>887666.0</v>
      </c>
      <c r="D19" s="35" t="s">
        <v>186</v>
      </c>
      <c r="E19" s="27"/>
      <c r="F19" s="27"/>
      <c r="G19" s="27"/>
      <c r="H19" s="27"/>
      <c r="I19" s="3"/>
    </row>
    <row r="20" ht="13.5" customHeight="1">
      <c r="A20" s="35" t="s">
        <v>187</v>
      </c>
      <c r="B20" s="3"/>
      <c r="C20" s="38">
        <v>1010408.0</v>
      </c>
      <c r="D20" s="35" t="s">
        <v>186</v>
      </c>
      <c r="E20" s="27"/>
      <c r="F20" s="27"/>
      <c r="G20" s="27"/>
      <c r="H20" s="27"/>
      <c r="I20" s="3"/>
    </row>
    <row r="21" ht="15.75" customHeight="1"/>
    <row r="22" ht="15.0" customHeight="1">
      <c r="A22" s="50" t="s">
        <v>195</v>
      </c>
      <c r="B22" s="27"/>
      <c r="C22" s="27"/>
      <c r="D22" s="27"/>
      <c r="E22" s="27"/>
      <c r="F22" s="27"/>
      <c r="G22" s="27"/>
      <c r="H22" s="27"/>
      <c r="I22" s="27"/>
    </row>
    <row r="23" ht="39.75" customHeight="1">
      <c r="A23" s="51" t="s">
        <v>17</v>
      </c>
      <c r="B23" s="51" t="s">
        <v>21</v>
      </c>
      <c r="C23" s="51" t="s">
        <v>198</v>
      </c>
      <c r="D23" s="51" t="s">
        <v>199</v>
      </c>
      <c r="E23" s="51"/>
      <c r="F23" s="51" t="s">
        <v>200</v>
      </c>
      <c r="G23" s="51" t="s">
        <v>12</v>
      </c>
      <c r="H23" s="51" t="s">
        <v>201</v>
      </c>
      <c r="I23" s="51" t="s">
        <v>202</v>
      </c>
    </row>
    <row r="24" ht="39.75" customHeight="1">
      <c r="A24" s="7" t="s">
        <v>15</v>
      </c>
      <c r="B24" s="6" t="s">
        <v>16</v>
      </c>
      <c r="C24" s="52">
        <f t="shared" ref="C24:C26" si="1">ROUND($C$19*D24,0)</f>
        <v>242067</v>
      </c>
      <c r="D24" s="53">
        <v>0.2727</v>
      </c>
      <c r="E24" s="54"/>
      <c r="F24" s="52">
        <f t="shared" ref="F24:F26" si="2">ROUND($C$8*D24/SUM($D$24:$D$26),0)</f>
        <v>303</v>
      </c>
      <c r="G24" s="56">
        <f>$C$5</f>
        <v>350</v>
      </c>
      <c r="H24" s="57">
        <f t="shared" ref="H24:H26" si="3">G24/C24</f>
        <v>0.001445880686</v>
      </c>
      <c r="I24" s="58" t="s">
        <v>217</v>
      </c>
    </row>
    <row r="25" ht="15.75" customHeight="1">
      <c r="A25" s="7" t="s">
        <v>15</v>
      </c>
      <c r="B25" s="6" t="s">
        <v>84</v>
      </c>
      <c r="C25" s="52">
        <f t="shared" si="1"/>
        <v>321246</v>
      </c>
      <c r="D25" s="53">
        <v>0.3619</v>
      </c>
      <c r="E25" s="54"/>
      <c r="F25" s="52">
        <f t="shared" si="2"/>
        <v>403</v>
      </c>
      <c r="G25" s="56">
        <f>$C$6</f>
        <v>400</v>
      </c>
      <c r="H25" s="57">
        <f t="shared" si="3"/>
        <v>0.001245151691</v>
      </c>
      <c r="I25" s="58" t="s">
        <v>217</v>
      </c>
    </row>
    <row r="26" ht="15.75" customHeight="1">
      <c r="A26" s="7" t="s">
        <v>15</v>
      </c>
      <c r="B26" s="6" t="s">
        <v>97</v>
      </c>
      <c r="C26" s="52">
        <f t="shared" si="1"/>
        <v>314411</v>
      </c>
      <c r="D26" s="53">
        <v>0.3542</v>
      </c>
      <c r="E26" s="54"/>
      <c r="F26" s="52">
        <f t="shared" si="2"/>
        <v>394</v>
      </c>
      <c r="G26" s="56">
        <f>$C$7</f>
        <v>350</v>
      </c>
      <c r="H26" s="57">
        <f t="shared" si="3"/>
        <v>0.001113192605</v>
      </c>
      <c r="I26" s="58" t="s">
        <v>217</v>
      </c>
    </row>
    <row r="27" ht="15.0" customHeight="1">
      <c r="A27" s="28" t="s">
        <v>220</v>
      </c>
      <c r="B27" s="3"/>
      <c r="C27" s="59"/>
      <c r="D27" s="59"/>
      <c r="E27" s="59"/>
      <c r="F27" s="59"/>
      <c r="G27" s="56">
        <f>SUM(G24:G26)</f>
        <v>1100</v>
      </c>
      <c r="H27" s="59"/>
      <c r="I27" s="59"/>
    </row>
    <row r="28" ht="15.75" customHeight="1"/>
    <row r="29" ht="15.0" customHeight="1">
      <c r="A29" s="61" t="s">
        <v>221</v>
      </c>
      <c r="B29" s="27"/>
      <c r="C29" s="27"/>
      <c r="D29" s="27"/>
      <c r="E29" s="27"/>
      <c r="F29" s="27"/>
      <c r="G29" s="27"/>
      <c r="H29" s="27"/>
      <c r="I29" s="27"/>
    </row>
    <row r="30" ht="39.75" customHeight="1">
      <c r="A30" s="62" t="s">
        <v>17</v>
      </c>
      <c r="B30" s="62" t="s">
        <v>21</v>
      </c>
      <c r="C30" s="62" t="s">
        <v>237</v>
      </c>
      <c r="D30" s="62" t="s">
        <v>238</v>
      </c>
      <c r="E30" s="62" t="s">
        <v>239</v>
      </c>
      <c r="F30" s="62" t="s">
        <v>240</v>
      </c>
      <c r="G30" s="62" t="s">
        <v>12</v>
      </c>
      <c r="H30" s="62" t="s">
        <v>201</v>
      </c>
      <c r="I30" s="62" t="s">
        <v>202</v>
      </c>
    </row>
    <row r="31" ht="25.5" customHeight="1">
      <c r="A31" s="45" t="s">
        <v>130</v>
      </c>
      <c r="B31" s="44" t="s">
        <v>144</v>
      </c>
      <c r="C31" s="63">
        <v>14106.0</v>
      </c>
      <c r="D31" s="54" t="s">
        <v>241</v>
      </c>
      <c r="E31" s="69">
        <f t="shared" ref="E31:E41" si="4">POWER(C31,$C$15)</f>
        <v>14106</v>
      </c>
      <c r="F31" s="71">
        <f t="shared" ref="F31:F41" si="5">$C$12+($C$9-11*$C$12)*E31/SUM($E$31:$E$41)</f>
        <v>58.17655914</v>
      </c>
      <c r="G31" s="56">
        <f t="shared" ref="G31:G33" si="6">ROUND(F31/5,0)*5</f>
        <v>60</v>
      </c>
      <c r="H31" s="57">
        <f t="shared" ref="H31:H41" si="7">G31/C31</f>
        <v>0.004253509145</v>
      </c>
      <c r="I31" s="58" t="s">
        <v>268</v>
      </c>
    </row>
    <row r="32" ht="25.5" customHeight="1">
      <c r="A32" s="45" t="s">
        <v>130</v>
      </c>
      <c r="B32" s="44" t="s">
        <v>178</v>
      </c>
      <c r="C32" s="63">
        <v>1599.0</v>
      </c>
      <c r="D32" s="54" t="s">
        <v>241</v>
      </c>
      <c r="E32" s="69">
        <f t="shared" si="4"/>
        <v>1599</v>
      </c>
      <c r="F32" s="71">
        <f t="shared" si="5"/>
        <v>24.32754275</v>
      </c>
      <c r="G32" s="56">
        <f t="shared" si="6"/>
        <v>25</v>
      </c>
      <c r="H32" s="57">
        <f t="shared" si="7"/>
        <v>0.01563477173</v>
      </c>
      <c r="I32" s="58" t="s">
        <v>268</v>
      </c>
    </row>
    <row r="33" ht="25.5" customHeight="1">
      <c r="A33" s="45" t="s">
        <v>130</v>
      </c>
      <c r="B33" s="44" t="s">
        <v>224</v>
      </c>
      <c r="C33" s="63">
        <v>815.0</v>
      </c>
      <c r="D33" s="54" t="s">
        <v>241</v>
      </c>
      <c r="E33" s="69">
        <f t="shared" si="4"/>
        <v>815</v>
      </c>
      <c r="F33" s="71">
        <f t="shared" si="5"/>
        <v>22.20572067</v>
      </c>
      <c r="G33" s="56">
        <f t="shared" si="6"/>
        <v>20</v>
      </c>
      <c r="H33" s="57">
        <f t="shared" si="7"/>
        <v>0.0245398773</v>
      </c>
      <c r="I33" s="58" t="s">
        <v>268</v>
      </c>
    </row>
    <row r="34" ht="51.75" customHeight="1">
      <c r="A34" s="45" t="s">
        <v>130</v>
      </c>
      <c r="B34" s="44" t="s">
        <v>232</v>
      </c>
      <c r="C34" s="72">
        <f>ROUND(8107/0.518,-2)</f>
        <v>15700</v>
      </c>
      <c r="D34" s="73" t="s">
        <v>269</v>
      </c>
      <c r="E34" s="69">
        <f t="shared" si="4"/>
        <v>15700</v>
      </c>
      <c r="F34" s="71">
        <f t="shared" si="5"/>
        <v>62.49056987</v>
      </c>
      <c r="G34" s="56">
        <f>$C$9-(SUM(G31:G33)+SUM(G35:G41))</f>
        <v>65</v>
      </c>
      <c r="H34" s="57">
        <f t="shared" si="7"/>
        <v>0.004140127389</v>
      </c>
      <c r="I34" s="58" t="s">
        <v>271</v>
      </c>
    </row>
    <row r="35" ht="25.5" customHeight="1">
      <c r="A35" s="45" t="s">
        <v>130</v>
      </c>
      <c r="B35" s="44" t="s">
        <v>236</v>
      </c>
      <c r="C35" s="63">
        <v>10648.0</v>
      </c>
      <c r="D35" s="54" t="s">
        <v>241</v>
      </c>
      <c r="E35" s="69">
        <f t="shared" si="4"/>
        <v>10648</v>
      </c>
      <c r="F35" s="71">
        <f t="shared" si="5"/>
        <v>48.81780815</v>
      </c>
      <c r="G35" s="56">
        <f t="shared" ref="G35:G41" si="8">ROUND(F35/5,0)*5</f>
        <v>50</v>
      </c>
      <c r="H35" s="57">
        <f t="shared" si="7"/>
        <v>0.004695717506</v>
      </c>
      <c r="I35" s="58" t="s">
        <v>268</v>
      </c>
    </row>
    <row r="36" ht="25.5" customHeight="1">
      <c r="A36" s="45" t="s">
        <v>130</v>
      </c>
      <c r="B36" s="44" t="s">
        <v>251</v>
      </c>
      <c r="C36" s="63">
        <v>2380.0</v>
      </c>
      <c r="D36" s="54" t="s">
        <v>241</v>
      </c>
      <c r="E36" s="69">
        <f t="shared" si="4"/>
        <v>2380</v>
      </c>
      <c r="F36" s="71">
        <f t="shared" si="5"/>
        <v>26.44124562</v>
      </c>
      <c r="G36" s="56">
        <f t="shared" si="8"/>
        <v>25</v>
      </c>
      <c r="H36" s="57">
        <f t="shared" si="7"/>
        <v>0.01050420168</v>
      </c>
      <c r="I36" s="58" t="s">
        <v>268</v>
      </c>
    </row>
    <row r="37" ht="25.5" customHeight="1">
      <c r="A37" s="45" t="s">
        <v>130</v>
      </c>
      <c r="B37" s="44" t="s">
        <v>252</v>
      </c>
      <c r="C37" s="63">
        <v>2990.0</v>
      </c>
      <c r="D37" s="54" t="s">
        <v>241</v>
      </c>
      <c r="E37" s="69">
        <f t="shared" si="4"/>
        <v>2990</v>
      </c>
      <c r="F37" s="71">
        <f t="shared" si="5"/>
        <v>28.09215311</v>
      </c>
      <c r="G37" s="56">
        <f t="shared" si="8"/>
        <v>30</v>
      </c>
      <c r="H37" s="57">
        <f t="shared" si="7"/>
        <v>0.01003344482</v>
      </c>
      <c r="I37" s="58" t="s">
        <v>268</v>
      </c>
    </row>
    <row r="38" ht="39.75" customHeight="1">
      <c r="A38" s="45" t="s">
        <v>130</v>
      </c>
      <c r="B38" s="44" t="s">
        <v>266</v>
      </c>
      <c r="C38" s="72">
        <v>4300.0</v>
      </c>
      <c r="D38" s="73" t="s">
        <v>272</v>
      </c>
      <c r="E38" s="69">
        <f t="shared" si="4"/>
        <v>4300</v>
      </c>
      <c r="F38" s="71">
        <f t="shared" si="5"/>
        <v>31.63754461</v>
      </c>
      <c r="G38" s="56">
        <f t="shared" si="8"/>
        <v>30</v>
      </c>
      <c r="H38" s="57">
        <f t="shared" si="7"/>
        <v>0.006976744186</v>
      </c>
      <c r="I38" s="58" t="s">
        <v>273</v>
      </c>
    </row>
    <row r="39" ht="25.5" customHeight="1">
      <c r="A39" s="45" t="s">
        <v>130</v>
      </c>
      <c r="B39" s="44" t="s">
        <v>270</v>
      </c>
      <c r="C39" s="63">
        <v>4269.0</v>
      </c>
      <c r="D39" s="54" t="s">
        <v>241</v>
      </c>
      <c r="E39" s="69">
        <f t="shared" si="4"/>
        <v>4269</v>
      </c>
      <c r="F39" s="71">
        <f t="shared" si="5"/>
        <v>31.55364604</v>
      </c>
      <c r="G39" s="56">
        <f t="shared" si="8"/>
        <v>30</v>
      </c>
      <c r="H39" s="57">
        <f t="shared" si="7"/>
        <v>0.007027406887</v>
      </c>
      <c r="I39" s="58" t="s">
        <v>268</v>
      </c>
    </row>
    <row r="40" ht="25.5" customHeight="1">
      <c r="A40" s="45" t="s">
        <v>130</v>
      </c>
      <c r="B40" s="44" t="s">
        <v>274</v>
      </c>
      <c r="C40" s="63">
        <v>735.0</v>
      </c>
      <c r="D40" s="54" t="s">
        <v>241</v>
      </c>
      <c r="E40" s="69">
        <f t="shared" si="4"/>
        <v>735</v>
      </c>
      <c r="F40" s="71">
        <f t="shared" si="5"/>
        <v>21.98920821</v>
      </c>
      <c r="G40" s="56">
        <f t="shared" si="8"/>
        <v>20</v>
      </c>
      <c r="H40" s="57">
        <f t="shared" si="7"/>
        <v>0.02721088435</v>
      </c>
      <c r="I40" s="58" t="s">
        <v>268</v>
      </c>
    </row>
    <row r="41" ht="25.5" customHeight="1">
      <c r="A41" s="45" t="s">
        <v>130</v>
      </c>
      <c r="B41" s="44" t="s">
        <v>275</v>
      </c>
      <c r="C41" s="63">
        <v>1577.0</v>
      </c>
      <c r="D41" s="54" t="s">
        <v>241</v>
      </c>
      <c r="E41" s="69">
        <f t="shared" si="4"/>
        <v>1577</v>
      </c>
      <c r="F41" s="71">
        <f t="shared" si="5"/>
        <v>24.26800183</v>
      </c>
      <c r="G41" s="56">
        <f t="shared" si="8"/>
        <v>25</v>
      </c>
      <c r="H41" s="57">
        <f t="shared" si="7"/>
        <v>0.01585288523</v>
      </c>
      <c r="I41" s="58" t="s">
        <v>268</v>
      </c>
    </row>
    <row r="42" ht="15.0" customHeight="1">
      <c r="A42" s="28" t="s">
        <v>276</v>
      </c>
      <c r="B42" s="3"/>
      <c r="C42" s="59"/>
      <c r="D42" s="59"/>
      <c r="E42" s="59"/>
      <c r="F42" s="59"/>
      <c r="G42" s="56">
        <f>SUM(G31:G41)</f>
        <v>380</v>
      </c>
      <c r="H42" s="59"/>
      <c r="I42" s="59"/>
    </row>
    <row r="43" ht="15.75" customHeight="1"/>
    <row r="44" ht="15.0" customHeight="1">
      <c r="A44" s="75" t="s">
        <v>277</v>
      </c>
      <c r="B44" s="27"/>
      <c r="C44" s="27"/>
      <c r="D44" s="27"/>
      <c r="E44" s="27"/>
      <c r="F44" s="27"/>
      <c r="G44" s="27"/>
      <c r="H44" s="27"/>
      <c r="I44" s="27"/>
    </row>
    <row r="45" ht="39.75" customHeight="1">
      <c r="A45" s="76" t="s">
        <v>17</v>
      </c>
      <c r="B45" s="76" t="s">
        <v>21</v>
      </c>
      <c r="C45" s="76" t="s">
        <v>278</v>
      </c>
      <c r="D45" s="76" t="s">
        <v>279</v>
      </c>
      <c r="E45" s="76" t="s">
        <v>239</v>
      </c>
      <c r="F45" s="76" t="s">
        <v>240</v>
      </c>
      <c r="G45" s="76" t="s">
        <v>12</v>
      </c>
      <c r="H45" s="76" t="s">
        <v>201</v>
      </c>
      <c r="I45" s="76" t="s">
        <v>202</v>
      </c>
    </row>
    <row r="46" ht="39.75" customHeight="1">
      <c r="A46" s="77" t="s">
        <v>223</v>
      </c>
      <c r="B46" s="78" t="s">
        <v>280</v>
      </c>
      <c r="C46" s="52">
        <f>ROUND($C$18*0.14,-2)</f>
        <v>141600</v>
      </c>
      <c r="D46" s="58" t="s">
        <v>281</v>
      </c>
      <c r="E46" s="69">
        <f t="shared" ref="E46:E54" si="9">POWER(C46,$C$16)</f>
        <v>376.2977544</v>
      </c>
      <c r="F46" s="71">
        <f t="shared" ref="F46:F54" si="10">$C$13+($C$10-9*$C$13)*E46/SUM($E$46:$E$54)</f>
        <v>66.61099186</v>
      </c>
      <c r="G46" s="56">
        <f t="shared" ref="G46:G50" si="11">ROUND(F46/5,0)*5</f>
        <v>65</v>
      </c>
      <c r="H46" s="57">
        <f t="shared" ref="H46:H54" si="12">G46/C46</f>
        <v>0.000459039548</v>
      </c>
      <c r="I46" s="58" t="s">
        <v>282</v>
      </c>
    </row>
    <row r="47" ht="39.75" customHeight="1">
      <c r="A47" s="77" t="s">
        <v>223</v>
      </c>
      <c r="B47" s="78" t="s">
        <v>283</v>
      </c>
      <c r="C47" s="52">
        <f>ROUND($C$18*0.19,-2)</f>
        <v>192200</v>
      </c>
      <c r="D47" s="58" t="s">
        <v>284</v>
      </c>
      <c r="E47" s="69">
        <f t="shared" si="9"/>
        <v>438.4062043</v>
      </c>
      <c r="F47" s="71">
        <f t="shared" si="10"/>
        <v>72.65368525</v>
      </c>
      <c r="G47" s="56">
        <f t="shared" si="11"/>
        <v>75</v>
      </c>
      <c r="H47" s="57">
        <f t="shared" si="12"/>
        <v>0.0003902185224</v>
      </c>
      <c r="I47" s="58" t="s">
        <v>282</v>
      </c>
    </row>
    <row r="48" ht="39.75" customHeight="1">
      <c r="A48" s="77" t="s">
        <v>223</v>
      </c>
      <c r="B48" s="78" t="s">
        <v>286</v>
      </c>
      <c r="C48" s="52">
        <f>ROUND($C$18*0.01,-2)</f>
        <v>10100</v>
      </c>
      <c r="D48" s="58" t="s">
        <v>287</v>
      </c>
      <c r="E48" s="69">
        <f t="shared" si="9"/>
        <v>100.4987562</v>
      </c>
      <c r="F48" s="71">
        <f t="shared" si="10"/>
        <v>39.77778661</v>
      </c>
      <c r="G48" s="56">
        <f t="shared" si="11"/>
        <v>40</v>
      </c>
      <c r="H48" s="57">
        <f t="shared" si="12"/>
        <v>0.00396039604</v>
      </c>
      <c r="I48" s="58" t="s">
        <v>288</v>
      </c>
    </row>
    <row r="49" ht="39.75" customHeight="1">
      <c r="A49" s="77" t="s">
        <v>223</v>
      </c>
      <c r="B49" s="78" t="s">
        <v>289</v>
      </c>
      <c r="C49" s="63">
        <v>21951.0</v>
      </c>
      <c r="D49" s="58" t="s">
        <v>290</v>
      </c>
      <c r="E49" s="69">
        <f t="shared" si="9"/>
        <v>148.1586987</v>
      </c>
      <c r="F49" s="71">
        <f t="shared" si="10"/>
        <v>44.41474696</v>
      </c>
      <c r="G49" s="56">
        <f t="shared" si="11"/>
        <v>45</v>
      </c>
      <c r="H49" s="57">
        <f t="shared" si="12"/>
        <v>0.0020500205</v>
      </c>
      <c r="I49" s="58" t="s">
        <v>291</v>
      </c>
    </row>
    <row r="50" ht="39.75" customHeight="1">
      <c r="A50" s="77" t="s">
        <v>223</v>
      </c>
      <c r="B50" s="78" t="s">
        <v>292</v>
      </c>
      <c r="C50" s="52">
        <f>ROUND($C$20*0.247,-2)</f>
        <v>249600</v>
      </c>
      <c r="D50" s="58" t="s">
        <v>293</v>
      </c>
      <c r="E50" s="69">
        <f t="shared" si="9"/>
        <v>499.5998399</v>
      </c>
      <c r="F50" s="71">
        <f t="shared" si="10"/>
        <v>78.60737396</v>
      </c>
      <c r="G50" s="56">
        <f t="shared" si="11"/>
        <v>80</v>
      </c>
      <c r="H50" s="57">
        <f t="shared" si="12"/>
        <v>0.0003205128205</v>
      </c>
      <c r="I50" s="58" t="s">
        <v>294</v>
      </c>
    </row>
    <row r="51" ht="51.75" customHeight="1">
      <c r="A51" s="77" t="s">
        <v>223</v>
      </c>
      <c r="B51" s="78" t="s">
        <v>295</v>
      </c>
      <c r="C51" s="63">
        <v>524101.0</v>
      </c>
      <c r="D51" s="58" t="s">
        <v>296</v>
      </c>
      <c r="E51" s="69">
        <f t="shared" si="9"/>
        <v>723.9482026</v>
      </c>
      <c r="F51" s="71">
        <f t="shared" si="10"/>
        <v>100.4348124</v>
      </c>
      <c r="G51" s="56">
        <f>$C$10-(SUM(G46:G50)+SUM(G52:G54))</f>
        <v>100</v>
      </c>
      <c r="H51" s="57">
        <f t="shared" si="12"/>
        <v>0.0001908029178</v>
      </c>
      <c r="I51" s="58" t="s">
        <v>297</v>
      </c>
    </row>
    <row r="52" ht="39.75" customHeight="1">
      <c r="A52" s="77" t="s">
        <v>223</v>
      </c>
      <c r="B52" s="78" t="s">
        <v>298</v>
      </c>
      <c r="C52" s="63">
        <v>91804.0</v>
      </c>
      <c r="D52" s="58" t="s">
        <v>299</v>
      </c>
      <c r="E52" s="69">
        <f t="shared" si="9"/>
        <v>302.9917491</v>
      </c>
      <c r="F52" s="71">
        <f t="shared" si="10"/>
        <v>59.47885903</v>
      </c>
      <c r="G52" s="56">
        <f t="shared" ref="G52:G54" si="13">ROUND(F52/5,0)*5</f>
        <v>60</v>
      </c>
      <c r="H52" s="57">
        <f t="shared" si="12"/>
        <v>0.0006535662934</v>
      </c>
      <c r="I52" s="58" t="s">
        <v>300</v>
      </c>
    </row>
    <row r="53" ht="39.75" customHeight="1">
      <c r="A53" s="77" t="s">
        <v>223</v>
      </c>
      <c r="B53" s="78" t="s">
        <v>301</v>
      </c>
      <c r="C53" s="52">
        <f>ROUND($C$18*0.286,-2)+1300</f>
        <v>290600</v>
      </c>
      <c r="D53" s="58" t="s">
        <v>302</v>
      </c>
      <c r="E53" s="69">
        <f t="shared" si="9"/>
        <v>539.0732789</v>
      </c>
      <c r="F53" s="71">
        <f t="shared" si="10"/>
        <v>82.44784799</v>
      </c>
      <c r="G53" s="56">
        <f t="shared" si="13"/>
        <v>80</v>
      </c>
      <c r="H53" s="57">
        <f t="shared" si="12"/>
        <v>0.0002752924983</v>
      </c>
      <c r="I53" s="58" t="s">
        <v>306</v>
      </c>
    </row>
    <row r="54" ht="39.75" customHeight="1">
      <c r="A54" s="77" t="s">
        <v>223</v>
      </c>
      <c r="B54" s="78" t="s">
        <v>311</v>
      </c>
      <c r="C54" s="63">
        <v>69093.0</v>
      </c>
      <c r="D54" s="58" t="s">
        <v>312</v>
      </c>
      <c r="E54" s="69">
        <f t="shared" si="9"/>
        <v>262.8554736</v>
      </c>
      <c r="F54" s="71">
        <f t="shared" si="10"/>
        <v>55.57389591</v>
      </c>
      <c r="G54" s="56">
        <f t="shared" si="13"/>
        <v>55</v>
      </c>
      <c r="H54" s="57">
        <f t="shared" si="12"/>
        <v>0.0007960285412</v>
      </c>
      <c r="I54" s="58" t="s">
        <v>313</v>
      </c>
    </row>
    <row r="55" ht="15.0" customHeight="1">
      <c r="A55" s="28" t="s">
        <v>314</v>
      </c>
      <c r="B55" s="3"/>
      <c r="C55" s="59"/>
      <c r="D55" s="59"/>
      <c r="E55" s="59"/>
      <c r="F55" s="59"/>
      <c r="G55" s="56">
        <f>SUM(G46:G54)</f>
        <v>600</v>
      </c>
      <c r="H55" s="59"/>
      <c r="I55" s="59"/>
    </row>
    <row r="56" ht="15.75" customHeight="1"/>
    <row r="57" ht="15.0" customHeight="1">
      <c r="A57" s="80" t="s">
        <v>317</v>
      </c>
      <c r="B57" s="27"/>
      <c r="C57" s="27"/>
      <c r="D57" s="27"/>
      <c r="E57" s="27"/>
      <c r="F57" s="27"/>
      <c r="G57" s="27"/>
      <c r="H57" s="27"/>
      <c r="I57" s="27"/>
    </row>
    <row r="58" ht="39.75" customHeight="1">
      <c r="A58" s="81" t="s">
        <v>17</v>
      </c>
      <c r="B58" s="81" t="s">
        <v>21</v>
      </c>
      <c r="C58" s="81" t="s">
        <v>326</v>
      </c>
      <c r="D58" s="81" t="s">
        <v>279</v>
      </c>
      <c r="E58" s="81" t="s">
        <v>239</v>
      </c>
      <c r="F58" s="81" t="s">
        <v>240</v>
      </c>
      <c r="G58" s="81" t="s">
        <v>12</v>
      </c>
      <c r="H58" s="81" t="s">
        <v>201</v>
      </c>
      <c r="I58" s="81" t="s">
        <v>202</v>
      </c>
    </row>
    <row r="59" ht="25.5" customHeight="1">
      <c r="A59" s="82" t="s">
        <v>226</v>
      </c>
      <c r="B59" s="83" t="s">
        <v>328</v>
      </c>
      <c r="C59" s="52">
        <f>COUNTIF('Detalle por mesa'!$B:$B,B59)</f>
        <v>6</v>
      </c>
      <c r="D59" s="58" t="s">
        <v>337</v>
      </c>
      <c r="E59" s="69">
        <f t="shared" ref="E59:E70" si="14">POWER(C59,$C$17)</f>
        <v>2.449489743</v>
      </c>
      <c r="F59" s="71">
        <f t="shared" ref="F59:F70" si="15">$C$14+($C$11-12*$C$14)*E59/SUM($E$59:$E$70)</f>
        <v>29.58565712</v>
      </c>
      <c r="G59" s="56">
        <f t="shared" ref="G59:G64" si="16">ROUND(F59/5,0)*5</f>
        <v>30</v>
      </c>
      <c r="H59" s="54"/>
      <c r="I59" s="58" t="s">
        <v>354</v>
      </c>
    </row>
    <row r="60" ht="25.5" customHeight="1">
      <c r="A60" s="82" t="s">
        <v>226</v>
      </c>
      <c r="B60" s="83" t="s">
        <v>388</v>
      </c>
      <c r="C60" s="52">
        <f>COUNTIF('Detalle por mesa'!$B:$B,B60)</f>
        <v>6</v>
      </c>
      <c r="D60" s="58" t="s">
        <v>337</v>
      </c>
      <c r="E60" s="69">
        <f t="shared" si="14"/>
        <v>2.449489743</v>
      </c>
      <c r="F60" s="71">
        <f t="shared" si="15"/>
        <v>29.58565712</v>
      </c>
      <c r="G60" s="56">
        <f t="shared" si="16"/>
        <v>30</v>
      </c>
      <c r="H60" s="54"/>
      <c r="I60" s="58" t="s">
        <v>354</v>
      </c>
    </row>
    <row r="61" ht="25.5" customHeight="1">
      <c r="A61" s="82" t="s">
        <v>226</v>
      </c>
      <c r="B61" s="83" t="s">
        <v>389</v>
      </c>
      <c r="C61" s="52">
        <f>COUNTIF('Detalle por mesa'!$B:$B,B61)</f>
        <v>6</v>
      </c>
      <c r="D61" s="58" t="s">
        <v>337</v>
      </c>
      <c r="E61" s="69">
        <f t="shared" si="14"/>
        <v>2.449489743</v>
      </c>
      <c r="F61" s="71">
        <f t="shared" si="15"/>
        <v>29.58565712</v>
      </c>
      <c r="G61" s="56">
        <f t="shared" si="16"/>
        <v>30</v>
      </c>
      <c r="H61" s="54"/>
      <c r="I61" s="58" t="s">
        <v>354</v>
      </c>
    </row>
    <row r="62" ht="25.5" customHeight="1">
      <c r="A62" s="82" t="s">
        <v>226</v>
      </c>
      <c r="B62" s="83" t="s">
        <v>390</v>
      </c>
      <c r="C62" s="52">
        <f>COUNTIF('Detalle por mesa'!$B:$B,B62)</f>
        <v>15</v>
      </c>
      <c r="D62" s="58" t="s">
        <v>337</v>
      </c>
      <c r="E62" s="69">
        <f t="shared" si="14"/>
        <v>3.872983346</v>
      </c>
      <c r="F62" s="71">
        <f t="shared" si="15"/>
        <v>35.15625468</v>
      </c>
      <c r="G62" s="56">
        <f t="shared" si="16"/>
        <v>35</v>
      </c>
      <c r="H62" s="54"/>
      <c r="I62" s="58" t="s">
        <v>354</v>
      </c>
    </row>
    <row r="63" ht="25.5" customHeight="1">
      <c r="A63" s="82" t="s">
        <v>226</v>
      </c>
      <c r="B63" s="83" t="s">
        <v>391</v>
      </c>
      <c r="C63" s="52">
        <f>COUNTIF('Detalle por mesa'!$B:$B,B63)</f>
        <v>8</v>
      </c>
      <c r="D63" s="58" t="s">
        <v>337</v>
      </c>
      <c r="E63" s="69">
        <f t="shared" si="14"/>
        <v>2.828427125</v>
      </c>
      <c r="F63" s="71">
        <f t="shared" si="15"/>
        <v>31.06856344</v>
      </c>
      <c r="G63" s="56">
        <f t="shared" si="16"/>
        <v>30</v>
      </c>
      <c r="H63" s="54"/>
      <c r="I63" s="58" t="s">
        <v>354</v>
      </c>
    </row>
    <row r="64" ht="25.5" customHeight="1">
      <c r="A64" s="82" t="s">
        <v>226</v>
      </c>
      <c r="B64" s="83" t="s">
        <v>392</v>
      </c>
      <c r="C64" s="52">
        <f>COUNTIF('Detalle por mesa'!$B:$B,B64)</f>
        <v>11</v>
      </c>
      <c r="D64" s="58" t="s">
        <v>337</v>
      </c>
      <c r="E64" s="69">
        <f t="shared" si="14"/>
        <v>3.31662479</v>
      </c>
      <c r="F64" s="71">
        <f t="shared" si="15"/>
        <v>32.97904109</v>
      </c>
      <c r="G64" s="56">
        <f t="shared" si="16"/>
        <v>35</v>
      </c>
      <c r="H64" s="54"/>
      <c r="I64" s="58" t="s">
        <v>354</v>
      </c>
    </row>
    <row r="65" ht="51.75" customHeight="1">
      <c r="A65" s="82" t="s">
        <v>226</v>
      </c>
      <c r="B65" s="83" t="s">
        <v>393</v>
      </c>
      <c r="C65" s="52">
        <f>COUNTIF('Detalle por mesa'!$B:$B,B65)</f>
        <v>38</v>
      </c>
      <c r="D65" s="58" t="s">
        <v>337</v>
      </c>
      <c r="E65" s="69">
        <f t="shared" si="14"/>
        <v>6.164414003</v>
      </c>
      <c r="F65" s="71">
        <f t="shared" si="15"/>
        <v>44.12337473</v>
      </c>
      <c r="G65" s="56">
        <f>$C$11-(SUM(G59:G64)+SUM(G66:G70))</f>
        <v>40</v>
      </c>
      <c r="H65" s="54"/>
      <c r="I65" s="58" t="s">
        <v>402</v>
      </c>
    </row>
    <row r="66" ht="25.5" customHeight="1">
      <c r="A66" s="82" t="s">
        <v>226</v>
      </c>
      <c r="B66" s="83" t="s">
        <v>403</v>
      </c>
      <c r="C66" s="52">
        <f>COUNTIF('Detalle por mesa'!$B:$B,B66)</f>
        <v>24</v>
      </c>
      <c r="D66" s="58" t="s">
        <v>337</v>
      </c>
      <c r="E66" s="69">
        <f t="shared" si="14"/>
        <v>4.898979486</v>
      </c>
      <c r="F66" s="71">
        <f t="shared" si="15"/>
        <v>39.17131424</v>
      </c>
      <c r="G66" s="56">
        <f t="shared" ref="G66:G70" si="17">ROUND(F66/5,0)*5</f>
        <v>40</v>
      </c>
      <c r="H66" s="54"/>
      <c r="I66" s="58" t="s">
        <v>354</v>
      </c>
    </row>
    <row r="67" ht="25.5" customHeight="1">
      <c r="A67" s="82" t="s">
        <v>226</v>
      </c>
      <c r="B67" s="83" t="s">
        <v>404</v>
      </c>
      <c r="C67" s="52">
        <f>COUNTIF('Detalle por mesa'!$B:$B,B67)</f>
        <v>28</v>
      </c>
      <c r="D67" s="58" t="s">
        <v>337</v>
      </c>
      <c r="E67" s="69">
        <f t="shared" si="14"/>
        <v>5.291502622</v>
      </c>
      <c r="F67" s="71">
        <f t="shared" si="15"/>
        <v>40.70738607</v>
      </c>
      <c r="G67" s="56">
        <f t="shared" si="17"/>
        <v>40</v>
      </c>
      <c r="H67" s="54"/>
      <c r="I67" s="58" t="s">
        <v>354</v>
      </c>
    </row>
    <row r="68" ht="25.5" customHeight="1">
      <c r="A68" s="82" t="s">
        <v>226</v>
      </c>
      <c r="B68" s="83" t="s">
        <v>411</v>
      </c>
      <c r="C68" s="52">
        <f>COUNTIF('Detalle por mesa'!$B:$B,B68)</f>
        <v>35</v>
      </c>
      <c r="D68" s="58" t="s">
        <v>337</v>
      </c>
      <c r="E68" s="69">
        <f t="shared" si="14"/>
        <v>5.916079783</v>
      </c>
      <c r="F68" s="71">
        <f t="shared" si="15"/>
        <v>43.15156144</v>
      </c>
      <c r="G68" s="56">
        <f t="shared" si="17"/>
        <v>45</v>
      </c>
      <c r="H68" s="54"/>
      <c r="I68" s="58" t="s">
        <v>354</v>
      </c>
    </row>
    <row r="69" ht="25.5" customHeight="1">
      <c r="A69" s="82" t="s">
        <v>226</v>
      </c>
      <c r="B69" s="83" t="s">
        <v>419</v>
      </c>
      <c r="C69" s="52">
        <f>COUNTIF('Detalle por mesa'!$B:$B,B69)</f>
        <v>17</v>
      </c>
      <c r="D69" s="58" t="s">
        <v>337</v>
      </c>
      <c r="E69" s="69">
        <f t="shared" si="14"/>
        <v>4.123105626</v>
      </c>
      <c r="F69" s="71">
        <f t="shared" si="15"/>
        <v>36.13506523</v>
      </c>
      <c r="G69" s="56">
        <f t="shared" si="17"/>
        <v>35</v>
      </c>
      <c r="H69" s="54"/>
      <c r="I69" s="58" t="s">
        <v>354</v>
      </c>
    </row>
    <row r="70" ht="25.5" customHeight="1">
      <c r="A70" s="82" t="s">
        <v>226</v>
      </c>
      <c r="B70" s="83" t="s">
        <v>420</v>
      </c>
      <c r="C70" s="52">
        <f>COUNTIF('Detalle por mesa'!$B:$B,B70)</f>
        <v>5</v>
      </c>
      <c r="D70" s="58" t="s">
        <v>337</v>
      </c>
      <c r="E70" s="69">
        <f t="shared" si="14"/>
        <v>2.236067977</v>
      </c>
      <c r="F70" s="71">
        <f t="shared" si="15"/>
        <v>28.75046772</v>
      </c>
      <c r="G70" s="56">
        <f t="shared" si="17"/>
        <v>30</v>
      </c>
      <c r="H70" s="54"/>
      <c r="I70" s="58" t="s">
        <v>354</v>
      </c>
    </row>
    <row r="71" ht="15.0" customHeight="1">
      <c r="A71" s="28" t="s">
        <v>421</v>
      </c>
      <c r="B71" s="3"/>
      <c r="C71" s="59"/>
      <c r="D71" s="59"/>
      <c r="E71" s="59"/>
      <c r="F71" s="59"/>
      <c r="G71" s="56">
        <f>SUM(G59:G70)</f>
        <v>420</v>
      </c>
      <c r="H71" s="59"/>
      <c r="I71" s="59"/>
    </row>
    <row r="72" ht="15.75" customHeight="1"/>
    <row r="73" ht="15.0" customHeight="1">
      <c r="A73" s="87" t="s">
        <v>423</v>
      </c>
      <c r="B73" s="3"/>
      <c r="G73" s="90">
        <f>G27+G42+G55+G71</f>
        <v>2500</v>
      </c>
    </row>
    <row r="74" ht="15.0" customHeight="1">
      <c r="A74" s="35" t="s">
        <v>426</v>
      </c>
      <c r="B74" s="3"/>
      <c r="G74" s="56">
        <f>G73-C4</f>
        <v>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I1"/>
    <mergeCell ref="A2:I2"/>
    <mergeCell ref="A3:B3"/>
    <mergeCell ref="D3:I3"/>
    <mergeCell ref="A4:B4"/>
    <mergeCell ref="D4:I4"/>
    <mergeCell ref="D5:I5"/>
    <mergeCell ref="A5:B5"/>
    <mergeCell ref="A6:B6"/>
    <mergeCell ref="A7:B7"/>
    <mergeCell ref="A8:B8"/>
    <mergeCell ref="A9:B9"/>
    <mergeCell ref="A10:B10"/>
    <mergeCell ref="A11:B11"/>
    <mergeCell ref="D13:I13"/>
    <mergeCell ref="D14:I14"/>
    <mergeCell ref="D15:I15"/>
    <mergeCell ref="D16:I16"/>
    <mergeCell ref="D17:I17"/>
    <mergeCell ref="D18:I18"/>
    <mergeCell ref="D19:I19"/>
    <mergeCell ref="D20:I20"/>
    <mergeCell ref="D6:I6"/>
    <mergeCell ref="D7:I7"/>
    <mergeCell ref="D8:I8"/>
    <mergeCell ref="D9:I9"/>
    <mergeCell ref="D10:I10"/>
    <mergeCell ref="D11:I11"/>
    <mergeCell ref="D12:I12"/>
    <mergeCell ref="A19:B19"/>
    <mergeCell ref="A20:B20"/>
    <mergeCell ref="A22:I22"/>
    <mergeCell ref="A29:I29"/>
    <mergeCell ref="A27:B27"/>
    <mergeCell ref="A42:B42"/>
    <mergeCell ref="A44:I44"/>
    <mergeCell ref="A57:I57"/>
    <mergeCell ref="A55:B55"/>
    <mergeCell ref="A71:B71"/>
    <mergeCell ref="A73:B73"/>
    <mergeCell ref="A74:B74"/>
    <mergeCell ref="A12:B12"/>
    <mergeCell ref="A13:B13"/>
    <mergeCell ref="A14:B14"/>
    <mergeCell ref="A15:B15"/>
    <mergeCell ref="A16:B16"/>
    <mergeCell ref="A17:B17"/>
    <mergeCell ref="A18:B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2.0"/>
    <col customWidth="1" min="2" max="2" width="44.0"/>
    <col customWidth="1" min="3" max="7" width="14.0"/>
    <col customWidth="1" min="8" max="8" width="60.0"/>
  </cols>
  <sheetData>
    <row r="1" ht="18.0" customHeight="1">
      <c r="A1" s="9" t="s">
        <v>23</v>
      </c>
    </row>
    <row r="2" ht="37.5" customHeight="1">
      <c r="A2" s="10" t="s">
        <v>32</v>
      </c>
    </row>
    <row r="3" ht="14.25" customHeight="1"/>
    <row r="4" ht="15.0" customHeight="1">
      <c r="A4" s="13" t="s">
        <v>34</v>
      </c>
      <c r="B4" s="14"/>
      <c r="C4" s="16" t="s">
        <v>42</v>
      </c>
      <c r="D4" s="13" t="s">
        <v>46</v>
      </c>
      <c r="E4" s="14"/>
      <c r="F4" s="14"/>
      <c r="G4" s="14"/>
      <c r="H4" s="14"/>
    </row>
    <row r="5" ht="15.0" customHeight="1">
      <c r="A5" s="18" t="s">
        <v>51</v>
      </c>
      <c r="B5" s="14"/>
      <c r="C5" s="19">
        <f>'Metas de convocatoria'!C4</f>
        <v>2500</v>
      </c>
      <c r="D5" s="20" t="s">
        <v>73</v>
      </c>
      <c r="E5" s="14"/>
      <c r="F5" s="14"/>
      <c r="G5" s="14"/>
      <c r="H5" s="14"/>
    </row>
    <row r="6" ht="15.0" customHeight="1">
      <c r="A6" s="18" t="s">
        <v>79</v>
      </c>
      <c r="B6" s="14"/>
      <c r="C6" s="22">
        <v>500.0</v>
      </c>
      <c r="D6" s="20" t="s">
        <v>80</v>
      </c>
      <c r="E6" s="14"/>
      <c r="F6" s="14"/>
      <c r="G6" s="14"/>
      <c r="H6" s="14"/>
    </row>
    <row r="7" ht="15.0" customHeight="1">
      <c r="A7" s="18" t="s">
        <v>81</v>
      </c>
      <c r="B7" s="14"/>
      <c r="C7" s="25">
        <f>C5-C6</f>
        <v>2000</v>
      </c>
      <c r="D7" s="20" t="s">
        <v>83</v>
      </c>
      <c r="E7" s="14"/>
      <c r="F7" s="14"/>
      <c r="G7" s="14"/>
      <c r="H7" s="14"/>
    </row>
    <row r="8" ht="15.0" customHeight="1">
      <c r="A8" s="18" t="s">
        <v>85</v>
      </c>
      <c r="B8" s="14"/>
      <c r="C8" s="25">
        <f>C5+C6</f>
        <v>3000</v>
      </c>
      <c r="D8" s="20" t="s">
        <v>88</v>
      </c>
      <c r="E8" s="14"/>
      <c r="F8" s="14"/>
      <c r="G8" s="14"/>
      <c r="H8" s="14"/>
    </row>
    <row r="9" ht="15.0" customHeight="1">
      <c r="A9" s="18" t="s">
        <v>89</v>
      </c>
      <c r="B9" s="14"/>
      <c r="C9" s="30">
        <f>C6/C5</f>
        <v>0.2</v>
      </c>
      <c r="D9" s="20" t="s">
        <v>91</v>
      </c>
      <c r="E9" s="14"/>
      <c r="F9" s="14"/>
      <c r="G9" s="14"/>
      <c r="H9" s="14"/>
    </row>
    <row r="10" ht="15.0" customHeight="1">
      <c r="A10" s="18" t="s">
        <v>92</v>
      </c>
      <c r="B10" s="14"/>
      <c r="C10" s="31">
        <f>C7/C5</f>
        <v>0.8</v>
      </c>
      <c r="D10" s="20" t="s">
        <v>93</v>
      </c>
      <c r="E10" s="14"/>
      <c r="F10" s="14"/>
      <c r="G10" s="14"/>
      <c r="H10" s="14"/>
    </row>
    <row r="11" ht="15.0" customHeight="1">
      <c r="A11" s="18" t="s">
        <v>94</v>
      </c>
      <c r="B11" s="14"/>
      <c r="C11" s="31">
        <f>C8/C5</f>
        <v>1.2</v>
      </c>
      <c r="D11" s="20" t="s">
        <v>93</v>
      </c>
      <c r="E11" s="14"/>
      <c r="F11" s="14"/>
      <c r="G11" s="14"/>
      <c r="H11" s="14"/>
    </row>
    <row r="12" ht="14.25" customHeight="1"/>
    <row r="13" ht="15.0" customHeight="1">
      <c r="A13" s="33" t="s">
        <v>96</v>
      </c>
      <c r="B13" s="14"/>
      <c r="C13" s="14"/>
      <c r="D13" s="14"/>
      <c r="E13" s="14"/>
      <c r="F13" s="14"/>
      <c r="G13" s="14"/>
      <c r="H13" s="14"/>
    </row>
    <row r="14" ht="14.25" customHeight="1">
      <c r="A14" s="34" t="s">
        <v>98</v>
      </c>
      <c r="B14" s="34" t="s">
        <v>99</v>
      </c>
      <c r="C14" s="34" t="s">
        <v>100</v>
      </c>
      <c r="D14" s="34" t="s">
        <v>101</v>
      </c>
      <c r="E14" s="34" t="s">
        <v>102</v>
      </c>
      <c r="F14" s="34" t="s">
        <v>103</v>
      </c>
      <c r="G14" s="34" t="s">
        <v>104</v>
      </c>
      <c r="H14" s="34" t="s">
        <v>105</v>
      </c>
    </row>
    <row r="15" ht="14.25" customHeight="1">
      <c r="A15" s="36" t="s">
        <v>15</v>
      </c>
      <c r="B15" s="37">
        <v>3.0</v>
      </c>
      <c r="C15" s="25">
        <f>D27</f>
        <v>880</v>
      </c>
      <c r="D15" s="19">
        <f>'Metas de convocatoria'!C8</f>
        <v>1100</v>
      </c>
      <c r="E15" s="25">
        <f>F27</f>
        <v>1320</v>
      </c>
      <c r="F15" s="39">
        <f t="shared" ref="F15:F18" si="1">E15-C15</f>
        <v>440</v>
      </c>
      <c r="G15" s="40">
        <f t="shared" ref="G15:G18" si="2">D15/D$19</f>
        <v>0.44</v>
      </c>
      <c r="H15" s="41" t="s">
        <v>127</v>
      </c>
    </row>
    <row r="16" ht="14.25" customHeight="1">
      <c r="A16" s="36" t="s">
        <v>130</v>
      </c>
      <c r="B16" s="37">
        <v>11.0</v>
      </c>
      <c r="C16" s="25">
        <f t="shared" ref="C16:C17" si="3">ROUND(D16*$C$10/5,0)*5</f>
        <v>305</v>
      </c>
      <c r="D16" s="19">
        <f>'Metas de convocatoria'!C9</f>
        <v>380</v>
      </c>
      <c r="E16" s="25">
        <f t="shared" ref="E16:E17" si="4">ROUND(D16*$C$11/5,0)*5</f>
        <v>455</v>
      </c>
      <c r="F16" s="39">
        <f t="shared" si="1"/>
        <v>150</v>
      </c>
      <c r="G16" s="40">
        <f t="shared" si="2"/>
        <v>0.152</v>
      </c>
      <c r="H16" s="41" t="s">
        <v>222</v>
      </c>
    </row>
    <row r="17" ht="14.25" customHeight="1">
      <c r="A17" s="36" t="s">
        <v>223</v>
      </c>
      <c r="B17" s="37">
        <v>9.0</v>
      </c>
      <c r="C17" s="25">
        <f t="shared" si="3"/>
        <v>480</v>
      </c>
      <c r="D17" s="19">
        <f>'Metas de convocatoria'!C10</f>
        <v>600</v>
      </c>
      <c r="E17" s="25">
        <f t="shared" si="4"/>
        <v>720</v>
      </c>
      <c r="F17" s="39">
        <f t="shared" si="1"/>
        <v>240</v>
      </c>
      <c r="G17" s="40">
        <f t="shared" si="2"/>
        <v>0.24</v>
      </c>
      <c r="H17" s="41" t="s">
        <v>225</v>
      </c>
    </row>
    <row r="18" ht="14.25" customHeight="1">
      <c r="A18" s="36" t="s">
        <v>226</v>
      </c>
      <c r="B18" s="37">
        <v>12.0</v>
      </c>
      <c r="C18" s="25">
        <f>$C$7-SUM(C15:C17)</f>
        <v>335</v>
      </c>
      <c r="D18" s="19">
        <f>'Metas de convocatoria'!C11</f>
        <v>420</v>
      </c>
      <c r="E18" s="25">
        <f>$C$8-SUM(E15:E17)</f>
        <v>505</v>
      </c>
      <c r="F18" s="39">
        <f t="shared" si="1"/>
        <v>170</v>
      </c>
      <c r="G18" s="40">
        <f t="shared" si="2"/>
        <v>0.168</v>
      </c>
      <c r="H18" s="41" t="s">
        <v>227</v>
      </c>
    </row>
    <row r="19" ht="14.25" customHeight="1">
      <c r="A19" s="60" t="s">
        <v>228</v>
      </c>
      <c r="B19" s="64">
        <f t="shared" ref="B19:G19" si="5">SUM(B15:B18)</f>
        <v>35</v>
      </c>
      <c r="C19" s="65">
        <f t="shared" si="5"/>
        <v>2000</v>
      </c>
      <c r="D19" s="65">
        <f t="shared" si="5"/>
        <v>2500</v>
      </c>
      <c r="E19" s="65">
        <f t="shared" si="5"/>
        <v>3000</v>
      </c>
      <c r="F19" s="65">
        <f t="shared" si="5"/>
        <v>1000</v>
      </c>
      <c r="G19" s="66">
        <f t="shared" si="5"/>
        <v>1</v>
      </c>
      <c r="H19" s="67" t="s">
        <v>242</v>
      </c>
    </row>
    <row r="20" ht="14.25" customHeight="1"/>
    <row r="21" ht="14.25" customHeight="1"/>
    <row r="22" ht="15.0" customHeight="1">
      <c r="A22" s="33" t="s">
        <v>243</v>
      </c>
      <c r="B22" s="14"/>
      <c r="C22" s="14"/>
      <c r="D22" s="14"/>
      <c r="E22" s="14"/>
      <c r="F22" s="14"/>
      <c r="G22" s="14"/>
      <c r="H22" s="14"/>
    </row>
    <row r="23" ht="14.25" customHeight="1">
      <c r="A23" s="34" t="s">
        <v>17</v>
      </c>
      <c r="B23" s="34" t="s">
        <v>21</v>
      </c>
      <c r="C23" s="34" t="s">
        <v>244</v>
      </c>
      <c r="D23" s="34" t="s">
        <v>100</v>
      </c>
      <c r="E23" s="34" t="s">
        <v>101</v>
      </c>
      <c r="F23" s="34" t="s">
        <v>102</v>
      </c>
      <c r="G23" s="34" t="s">
        <v>103</v>
      </c>
      <c r="H23" s="34" t="s">
        <v>245</v>
      </c>
    </row>
    <row r="24" ht="14.25" customHeight="1">
      <c r="A24" s="41" t="s">
        <v>15</v>
      </c>
      <c r="B24" s="68" t="str">
        <f>'Metas de convocatoria'!B24</f>
        <v>Localidad Histórica y del Caribe Norte</v>
      </c>
      <c r="C24" s="37" t="s">
        <v>48</v>
      </c>
      <c r="D24" s="25">
        <f>ROUND('Metas de convocatoria'!C5*$C$10/5,0)*5</f>
        <v>280</v>
      </c>
      <c r="E24" s="19">
        <f>'Metas de convocatoria'!G24</f>
        <v>350</v>
      </c>
      <c r="F24" s="25">
        <f>ROUND('Metas de convocatoria'!C5*$C$11/5,0)*5</f>
        <v>420</v>
      </c>
      <c r="G24" s="39">
        <f t="shared" ref="G24:G26" si="6">F24-D24</f>
        <v>140</v>
      </c>
      <c r="H24" s="41" t="s">
        <v>246</v>
      </c>
    </row>
    <row r="25" ht="14.25" customHeight="1">
      <c r="A25" s="41" t="s">
        <v>15</v>
      </c>
      <c r="B25" s="68" t="str">
        <f>'Metas de convocatoria'!B25</f>
        <v>Localidad De La Virgen y Turística</v>
      </c>
      <c r="C25" s="37" t="s">
        <v>48</v>
      </c>
      <c r="D25" s="25">
        <f>ROUND('Metas de convocatoria'!C6*$C$10/5,0)*5</f>
        <v>320</v>
      </c>
      <c r="E25" s="19">
        <f>'Metas de convocatoria'!G25</f>
        <v>400</v>
      </c>
      <c r="F25" s="25">
        <f>ROUND('Metas de convocatoria'!C6*$C$11/5,0)*5</f>
        <v>480</v>
      </c>
      <c r="G25" s="39">
        <f t="shared" si="6"/>
        <v>160</v>
      </c>
      <c r="H25" s="41" t="s">
        <v>246</v>
      </c>
    </row>
    <row r="26" ht="14.25" customHeight="1">
      <c r="A26" s="41" t="s">
        <v>15</v>
      </c>
      <c r="B26" s="68" t="str">
        <f>'Metas de convocatoria'!B26</f>
        <v>Localidad Industrial y de la Bahía</v>
      </c>
      <c r="C26" s="37" t="s">
        <v>48</v>
      </c>
      <c r="D26" s="25">
        <f>ROUND('Metas de convocatoria'!C7*$C$10/5,0)*5</f>
        <v>280</v>
      </c>
      <c r="E26" s="19">
        <f>'Metas de convocatoria'!G26</f>
        <v>350</v>
      </c>
      <c r="F26" s="25">
        <f>ROUND('Metas de convocatoria'!C7*$C$11/5,0)*5</f>
        <v>420</v>
      </c>
      <c r="G26" s="39">
        <f t="shared" si="6"/>
        <v>140</v>
      </c>
      <c r="H26" s="41" t="s">
        <v>246</v>
      </c>
    </row>
    <row r="27" ht="14.25" customHeight="1">
      <c r="A27" s="36" t="s">
        <v>247</v>
      </c>
      <c r="B27" s="41"/>
      <c r="C27" s="41"/>
      <c r="D27" s="70">
        <f t="shared" ref="D27:G27" si="7">SUM(D24:D26)</f>
        <v>880</v>
      </c>
      <c r="E27" s="70">
        <f t="shared" si="7"/>
        <v>1100</v>
      </c>
      <c r="F27" s="70">
        <f t="shared" si="7"/>
        <v>1320</v>
      </c>
      <c r="G27" s="70">
        <f t="shared" si="7"/>
        <v>440</v>
      </c>
      <c r="H27" s="41"/>
    </row>
    <row r="28" ht="14.25" customHeight="1"/>
    <row r="29" ht="14.25" customHeight="1">
      <c r="A29" s="41" t="s">
        <v>130</v>
      </c>
      <c r="B29" s="68" t="str">
        <f>'Metas de convocatoria'!B31</f>
        <v>Boquilla</v>
      </c>
      <c r="C29" s="74">
        <f>'Metas de convocatoria'!E31</f>
        <v>14106</v>
      </c>
      <c r="D29" s="25">
        <f>ROUND(('Metas de convocatoria'!$C$12+(C$16-11*'Metas de convocatoria'!$C$12)*$C29/SUM($C$29:$C$39))/5,0)*5</f>
        <v>40</v>
      </c>
      <c r="E29" s="19">
        <f>'Metas de convocatoria'!G31</f>
        <v>60</v>
      </c>
      <c r="F29" s="25">
        <f>ROUND(('Metas de convocatoria'!$C$12+(E$16-11*'Metas de convocatoria'!$C$12)*$C29/SUM($C$29:$C$39))/5,0)*5</f>
        <v>75</v>
      </c>
      <c r="G29" s="39">
        <f t="shared" ref="G29:G39" si="8">F29-D29</f>
        <v>35</v>
      </c>
      <c r="H29" s="41" t="s">
        <v>285</v>
      </c>
    </row>
    <row r="30" ht="14.25" customHeight="1">
      <c r="A30" s="41" t="s">
        <v>130</v>
      </c>
      <c r="B30" s="68" t="str">
        <f>'Metas de convocatoria'!B32</f>
        <v>Arroyo de Piedra</v>
      </c>
      <c r="C30" s="74">
        <f>'Metas de convocatoria'!E32</f>
        <v>1599</v>
      </c>
      <c r="D30" s="25">
        <f>ROUND(('Metas de convocatoria'!$C$12+(C$16-11*'Metas de convocatoria'!$C$12)*$C30/SUM($C$29:$C$39))/5,0)*5</f>
        <v>20</v>
      </c>
      <c r="E30" s="19">
        <f>'Metas de convocatoria'!G32</f>
        <v>25</v>
      </c>
      <c r="F30" s="25">
        <f>ROUND(('Metas de convocatoria'!$C$12+(E$16-11*'Metas de convocatoria'!$C$12)*$C30/SUM($C$29:$C$39))/5,0)*5</f>
        <v>25</v>
      </c>
      <c r="G30" s="39">
        <f t="shared" si="8"/>
        <v>5</v>
      </c>
      <c r="H30" s="41" t="s">
        <v>285</v>
      </c>
    </row>
    <row r="31" ht="14.25" customHeight="1">
      <c r="A31" s="41" t="s">
        <v>130</v>
      </c>
      <c r="B31" s="68" t="str">
        <f>'Metas de convocatoria'!B33</f>
        <v>Punta Canoa</v>
      </c>
      <c r="C31" s="74">
        <f>'Metas de convocatoria'!E33</f>
        <v>815</v>
      </c>
      <c r="D31" s="25">
        <f>ROUND(('Metas de convocatoria'!$C$12+(C$16-11*'Metas de convocatoria'!$C$12)*$C31/SUM($C$29:$C$39))/5,0)*5</f>
        <v>20</v>
      </c>
      <c r="E31" s="19">
        <f>'Metas de convocatoria'!G33</f>
        <v>20</v>
      </c>
      <c r="F31" s="25">
        <f>ROUND(('Metas de convocatoria'!$C$12+(E$16-11*'Metas de convocatoria'!$C$12)*$C31/SUM($C$29:$C$39))/5,0)*5</f>
        <v>25</v>
      </c>
      <c r="G31" s="39">
        <f t="shared" si="8"/>
        <v>5</v>
      </c>
      <c r="H31" s="41" t="s">
        <v>285</v>
      </c>
    </row>
    <row r="32" ht="14.25" customHeight="1">
      <c r="A32" s="41" t="s">
        <v>130</v>
      </c>
      <c r="B32" s="68" t="str">
        <f>'Metas de convocatoria'!B34</f>
        <v>Bayunca</v>
      </c>
      <c r="C32" s="74">
        <f>'Metas de convocatoria'!E34</f>
        <v>15700</v>
      </c>
      <c r="D32" s="25">
        <f>C$16-(SUM(D29:D31)+SUM(D33:D39))</f>
        <v>50</v>
      </c>
      <c r="E32" s="19">
        <f>'Metas de convocatoria'!G34</f>
        <v>65</v>
      </c>
      <c r="F32" s="25">
        <f>E$16-(SUM(F29:F31)+SUM(F33:F39))</f>
        <v>90</v>
      </c>
      <c r="G32" s="39">
        <f t="shared" si="8"/>
        <v>40</v>
      </c>
      <c r="H32" s="41" t="s">
        <v>329</v>
      </c>
    </row>
    <row r="33" ht="14.25" customHeight="1">
      <c r="A33" s="41" t="s">
        <v>130</v>
      </c>
      <c r="B33" s="68" t="str">
        <f>'Metas de convocatoria'!B35</f>
        <v>Pasacaballos</v>
      </c>
      <c r="C33" s="74">
        <f>'Metas de convocatoria'!E35</f>
        <v>10648</v>
      </c>
      <c r="D33" s="25">
        <f>ROUND(('Metas de convocatoria'!$C$12+(C$16-11*'Metas de convocatoria'!$C$12)*$C33/SUM($C$29:$C$39))/5,0)*5</f>
        <v>35</v>
      </c>
      <c r="E33" s="19">
        <f>'Metas de convocatoria'!G35</f>
        <v>50</v>
      </c>
      <c r="F33" s="25">
        <f>ROUND(('Metas de convocatoria'!$C$12+(E$16-11*'Metas de convocatoria'!$C$12)*$C33/SUM($C$29:$C$39))/5,0)*5</f>
        <v>60</v>
      </c>
      <c r="G33" s="39">
        <f t="shared" si="8"/>
        <v>25</v>
      </c>
      <c r="H33" s="41" t="s">
        <v>285</v>
      </c>
    </row>
    <row r="34" ht="14.25" customHeight="1">
      <c r="A34" s="41" t="s">
        <v>130</v>
      </c>
      <c r="B34" s="68" t="str">
        <f>'Metas de convocatoria'!B36</f>
        <v>Arroyo Grande</v>
      </c>
      <c r="C34" s="74">
        <f>'Metas de convocatoria'!E36</f>
        <v>2380</v>
      </c>
      <c r="D34" s="25">
        <f>ROUND(('Metas de convocatoria'!$C$12+(C$16-11*'Metas de convocatoria'!$C$12)*$C34/SUM($C$29:$C$39))/5,0)*5</f>
        <v>25</v>
      </c>
      <c r="E34" s="19">
        <f>'Metas de convocatoria'!G36</f>
        <v>25</v>
      </c>
      <c r="F34" s="25">
        <f>ROUND(('Metas de convocatoria'!$C$12+(E$16-11*'Metas de convocatoria'!$C$12)*$C34/SUM($C$29:$C$39))/5,0)*5</f>
        <v>30</v>
      </c>
      <c r="G34" s="39">
        <f t="shared" si="8"/>
        <v>5</v>
      </c>
      <c r="H34" s="41" t="s">
        <v>285</v>
      </c>
    </row>
    <row r="35" ht="14.25" customHeight="1">
      <c r="A35" s="41" t="s">
        <v>130</v>
      </c>
      <c r="B35" s="68" t="str">
        <f>'Metas de convocatoria'!B37</f>
        <v>Santa Ana</v>
      </c>
      <c r="C35" s="74">
        <f>'Metas de convocatoria'!E37</f>
        <v>2990</v>
      </c>
      <c r="D35" s="25">
        <f>ROUND(('Metas de convocatoria'!$C$12+(C$16-11*'Metas de convocatoria'!$C$12)*$C35/SUM($C$29:$C$39))/5,0)*5</f>
        <v>25</v>
      </c>
      <c r="E35" s="19">
        <f>'Metas de convocatoria'!G37</f>
        <v>30</v>
      </c>
      <c r="F35" s="25">
        <f>ROUND(('Metas de convocatoria'!$C$12+(E$16-11*'Metas de convocatoria'!$C$12)*$C35/SUM($C$29:$C$39))/5,0)*5</f>
        <v>30</v>
      </c>
      <c r="G35" s="39">
        <f t="shared" si="8"/>
        <v>5</v>
      </c>
      <c r="H35" s="41" t="s">
        <v>285</v>
      </c>
    </row>
    <row r="36" ht="14.25" customHeight="1">
      <c r="A36" s="41" t="s">
        <v>130</v>
      </c>
      <c r="B36" s="68" t="str">
        <f>'Metas de convocatoria'!B38</f>
        <v>Tierra bomba</v>
      </c>
      <c r="C36" s="74">
        <f>'Metas de convocatoria'!E38</f>
        <v>4300</v>
      </c>
      <c r="D36" s="25">
        <f>ROUND(('Metas de convocatoria'!$C$12+(C$16-11*'Metas de convocatoria'!$C$12)*$C36/SUM($C$29:$C$39))/5,0)*5</f>
        <v>25</v>
      </c>
      <c r="E36" s="19">
        <f>'Metas de convocatoria'!G38</f>
        <v>30</v>
      </c>
      <c r="F36" s="25">
        <f>ROUND(('Metas de convocatoria'!$C$12+(E$16-11*'Metas de convocatoria'!$C$12)*$C36/SUM($C$29:$C$39))/5,0)*5</f>
        <v>35</v>
      </c>
      <c r="G36" s="39">
        <f t="shared" si="8"/>
        <v>10</v>
      </c>
      <c r="H36" s="41" t="s">
        <v>285</v>
      </c>
    </row>
    <row r="37" ht="14.25" customHeight="1">
      <c r="A37" s="41" t="s">
        <v>130</v>
      </c>
      <c r="B37" s="68" t="str">
        <f>'Metas de convocatoria'!B39</f>
        <v>Bocachica</v>
      </c>
      <c r="C37" s="74">
        <f>'Metas de convocatoria'!E39</f>
        <v>4269</v>
      </c>
      <c r="D37" s="25">
        <f>ROUND(('Metas de convocatoria'!$C$12+(C$16-11*'Metas de convocatoria'!$C$12)*$C37/SUM($C$29:$C$39))/5,0)*5</f>
        <v>25</v>
      </c>
      <c r="E37" s="19">
        <f>'Metas de convocatoria'!G39</f>
        <v>30</v>
      </c>
      <c r="F37" s="25">
        <f>ROUND(('Metas de convocatoria'!$C$12+(E$16-11*'Metas de convocatoria'!$C$12)*$C37/SUM($C$29:$C$39))/5,0)*5</f>
        <v>35</v>
      </c>
      <c r="G37" s="39">
        <f t="shared" si="8"/>
        <v>10</v>
      </c>
      <c r="H37" s="41" t="s">
        <v>285</v>
      </c>
    </row>
    <row r="38" ht="14.25" customHeight="1">
      <c r="A38" s="41" t="s">
        <v>130</v>
      </c>
      <c r="B38" s="68" t="str">
        <f>'Metas de convocatoria'!B40</f>
        <v>Isla del Rosario</v>
      </c>
      <c r="C38" s="74">
        <f>'Metas de convocatoria'!E40</f>
        <v>735</v>
      </c>
      <c r="D38" s="25">
        <f>ROUND(('Metas de convocatoria'!$C$12+(C$16-11*'Metas de convocatoria'!$C$12)*$C38/SUM($C$29:$C$39))/5,0)*5</f>
        <v>20</v>
      </c>
      <c r="E38" s="19">
        <f>'Metas de convocatoria'!G40</f>
        <v>20</v>
      </c>
      <c r="F38" s="25">
        <f>ROUND(('Metas de convocatoria'!$C$12+(E$16-11*'Metas de convocatoria'!$C$12)*$C38/SUM($C$29:$C$39))/5,0)*5</f>
        <v>25</v>
      </c>
      <c r="G38" s="39">
        <f t="shared" si="8"/>
        <v>5</v>
      </c>
      <c r="H38" s="41" t="s">
        <v>285</v>
      </c>
    </row>
    <row r="39" ht="14.25" customHeight="1">
      <c r="A39" s="41" t="s">
        <v>130</v>
      </c>
      <c r="B39" s="68" t="str">
        <f>'Metas de convocatoria'!B41</f>
        <v>Isla Fuerte</v>
      </c>
      <c r="C39" s="74">
        <f>'Metas de convocatoria'!E41</f>
        <v>1577</v>
      </c>
      <c r="D39" s="25">
        <f>ROUND(('Metas de convocatoria'!$C$12+(C$16-11*'Metas de convocatoria'!$C$12)*$C39/SUM($C$29:$C$39))/5,0)*5</f>
        <v>20</v>
      </c>
      <c r="E39" s="19">
        <f>'Metas de convocatoria'!G41</f>
        <v>25</v>
      </c>
      <c r="F39" s="25">
        <f>ROUND(('Metas de convocatoria'!$C$12+(E$16-11*'Metas de convocatoria'!$C$12)*$C39/SUM($C$29:$C$39))/5,0)*5</f>
        <v>25</v>
      </c>
      <c r="G39" s="39">
        <f t="shared" si="8"/>
        <v>5</v>
      </c>
      <c r="H39" s="41" t="s">
        <v>285</v>
      </c>
    </row>
    <row r="40" ht="14.25" customHeight="1">
      <c r="A40" s="36" t="s">
        <v>507</v>
      </c>
      <c r="B40" s="41"/>
      <c r="C40" s="41"/>
      <c r="D40" s="70">
        <f t="shared" ref="D40:G40" si="9">SUM(D29:D39)</f>
        <v>305</v>
      </c>
      <c r="E40" s="70">
        <f t="shared" si="9"/>
        <v>380</v>
      </c>
      <c r="F40" s="70">
        <f t="shared" si="9"/>
        <v>455</v>
      </c>
      <c r="G40" s="70">
        <f t="shared" si="9"/>
        <v>150</v>
      </c>
      <c r="H40" s="41"/>
    </row>
    <row r="41" ht="14.25" customHeight="1"/>
    <row r="42" ht="14.25" customHeight="1">
      <c r="A42" s="41" t="s">
        <v>223</v>
      </c>
      <c r="B42" s="68" t="str">
        <f>'Metas de convocatoria'!B46</f>
        <v>Adulto mayor</v>
      </c>
      <c r="C42" s="74">
        <f>'Metas de convocatoria'!E46</f>
        <v>376.2977544</v>
      </c>
      <c r="D42" s="25">
        <f>ROUND(('Metas de convocatoria'!$C$13+(C$17-9*'Metas de convocatoria'!$C$13)*$C42/SUM($C$42:$C$50))/5,0)*5</f>
        <v>55</v>
      </c>
      <c r="E42" s="19">
        <f>'Metas de convocatoria'!G46</f>
        <v>65</v>
      </c>
      <c r="F42" s="25">
        <f>ROUND(('Metas de convocatoria'!$C$13+(E$17-9*'Metas de convocatoria'!$C$13)*$C42/SUM($C$42:$C$50))/5,0)*5</f>
        <v>80</v>
      </c>
      <c r="G42" s="39">
        <f t="shared" ref="G42:G50" si="10">F42-D42</f>
        <v>25</v>
      </c>
      <c r="H42" s="41" t="s">
        <v>285</v>
      </c>
    </row>
    <row r="43" ht="14.25" customHeight="1">
      <c r="A43" s="41" t="s">
        <v>223</v>
      </c>
      <c r="B43" s="68" t="str">
        <f>'Metas de convocatoria'!B47</f>
        <v>Infancia</v>
      </c>
      <c r="C43" s="74">
        <f>'Metas de convocatoria'!E47</f>
        <v>438.4062043</v>
      </c>
      <c r="D43" s="25">
        <f>ROUND(('Metas de convocatoria'!$C$13+(C$17-9*'Metas de convocatoria'!$C$13)*$C43/SUM($C$42:$C$50))/5,0)*5</f>
        <v>55</v>
      </c>
      <c r="E43" s="19">
        <f>'Metas de convocatoria'!G47</f>
        <v>75</v>
      </c>
      <c r="F43" s="25">
        <f>ROUND(('Metas de convocatoria'!$C$13+(E$17-9*'Metas de convocatoria'!$C$13)*$C43/SUM($C$42:$C$50))/5,0)*5</f>
        <v>90</v>
      </c>
      <c r="G43" s="39">
        <f t="shared" si="10"/>
        <v>35</v>
      </c>
      <c r="H43" s="41" t="s">
        <v>285</v>
      </c>
    </row>
    <row r="44" ht="14.25" customHeight="1">
      <c r="A44" s="41" t="s">
        <v>223</v>
      </c>
      <c r="B44" s="68" t="str">
        <f>'Metas de convocatoria'!B48</f>
        <v>LGTBI</v>
      </c>
      <c r="C44" s="74">
        <f>'Metas de convocatoria'!E48</f>
        <v>100.4987562</v>
      </c>
      <c r="D44" s="25">
        <f>ROUND(('Metas de convocatoria'!$C$13+(C$17-9*'Metas de convocatoria'!$C$13)*$C44/SUM($C$42:$C$50))/5,0)*5</f>
        <v>35</v>
      </c>
      <c r="E44" s="19">
        <f>'Metas de convocatoria'!G48</f>
        <v>40</v>
      </c>
      <c r="F44" s="25">
        <f>ROUND(('Metas de convocatoria'!$C$13+(E$17-9*'Metas de convocatoria'!$C$13)*$C44/SUM($C$42:$C$50))/5,0)*5</f>
        <v>45</v>
      </c>
      <c r="G44" s="39">
        <f t="shared" si="10"/>
        <v>10</v>
      </c>
      <c r="H44" s="41" t="s">
        <v>285</v>
      </c>
    </row>
    <row r="45" ht="14.25" customHeight="1">
      <c r="A45" s="41" t="s">
        <v>223</v>
      </c>
      <c r="B45" s="68" t="str">
        <f>'Metas de convocatoria'!B49</f>
        <v>Discapacidad</v>
      </c>
      <c r="C45" s="74">
        <f>'Metas de convocatoria'!E49</f>
        <v>148.1586987</v>
      </c>
      <c r="D45" s="25">
        <f>ROUND(('Metas de convocatoria'!$C$13+(C$17-9*'Metas de convocatoria'!$C$13)*$C45/SUM($C$42:$C$50))/5,0)*5</f>
        <v>40</v>
      </c>
      <c r="E45" s="19">
        <f>'Metas de convocatoria'!G49</f>
        <v>45</v>
      </c>
      <c r="F45" s="25">
        <f>ROUND(('Metas de convocatoria'!$C$13+(E$17-9*'Metas de convocatoria'!$C$13)*$C45/SUM($C$42:$C$50))/5,0)*5</f>
        <v>50</v>
      </c>
      <c r="G45" s="39">
        <f t="shared" si="10"/>
        <v>10</v>
      </c>
      <c r="H45" s="41" t="s">
        <v>285</v>
      </c>
    </row>
    <row r="46" ht="14.25" customHeight="1">
      <c r="A46" s="41" t="s">
        <v>223</v>
      </c>
      <c r="B46" s="68" t="str">
        <f>'Metas de convocatoria'!B50</f>
        <v>Juventud</v>
      </c>
      <c r="C46" s="74">
        <f>'Metas de convocatoria'!E50</f>
        <v>499.5998399</v>
      </c>
      <c r="D46" s="25">
        <f>ROUND(('Metas de convocatoria'!$C$13+(C$17-9*'Metas de convocatoria'!$C$13)*$C46/SUM($C$42:$C$50))/5,0)*5</f>
        <v>60</v>
      </c>
      <c r="E46" s="19">
        <f>'Metas de convocatoria'!G50</f>
        <v>80</v>
      </c>
      <c r="F46" s="25">
        <f>ROUND(('Metas de convocatoria'!$C$13+(E$17-9*'Metas de convocatoria'!$C$13)*$C46/SUM($C$42:$C$50))/5,0)*5</f>
        <v>95</v>
      </c>
      <c r="G46" s="39">
        <f t="shared" si="10"/>
        <v>35</v>
      </c>
      <c r="H46" s="41" t="s">
        <v>285</v>
      </c>
    </row>
    <row r="47" ht="14.25" customHeight="1">
      <c r="A47" s="41" t="s">
        <v>223</v>
      </c>
      <c r="B47" s="68" t="str">
        <f>'Metas de convocatoria'!B51</f>
        <v>Mujeres</v>
      </c>
      <c r="C47" s="74">
        <f>'Metas de convocatoria'!E51</f>
        <v>723.9482026</v>
      </c>
      <c r="D47" s="25">
        <f>C$17-(SUM(D42:D46)+SUM(D48:D50))</f>
        <v>75</v>
      </c>
      <c r="E47" s="19">
        <f>'Metas de convocatoria'!G51</f>
        <v>100</v>
      </c>
      <c r="F47" s="25">
        <f>E$17-(SUM(F42:F46)+SUM(F48:F50))</f>
        <v>125</v>
      </c>
      <c r="G47" s="39">
        <f t="shared" si="10"/>
        <v>50</v>
      </c>
      <c r="H47" s="41" t="s">
        <v>329</v>
      </c>
    </row>
    <row r="48" ht="14.25" customHeight="1">
      <c r="A48" s="41" t="s">
        <v>223</v>
      </c>
      <c r="B48" s="68" t="str">
        <f>'Metas de convocatoria'!B52</f>
        <v>Victimas</v>
      </c>
      <c r="C48" s="74">
        <f>'Metas de convocatoria'!E52</f>
        <v>302.9917491</v>
      </c>
      <c r="D48" s="25">
        <f>ROUND(('Metas de convocatoria'!$C$13+(C$17-9*'Metas de convocatoria'!$C$13)*$C48/SUM($C$42:$C$50))/5,0)*5</f>
        <v>50</v>
      </c>
      <c r="E48" s="19">
        <f>'Metas de convocatoria'!G52</f>
        <v>60</v>
      </c>
      <c r="F48" s="25">
        <f>ROUND(('Metas de convocatoria'!$C$13+(E$17-9*'Metas de convocatoria'!$C$13)*$C48/SUM($C$42:$C$50))/5,0)*5</f>
        <v>70</v>
      </c>
      <c r="G48" s="39">
        <f t="shared" si="10"/>
        <v>20</v>
      </c>
      <c r="H48" s="41" t="s">
        <v>285</v>
      </c>
    </row>
    <row r="49" ht="14.25" customHeight="1">
      <c r="A49" s="41" t="s">
        <v>223</v>
      </c>
      <c r="B49" s="68" t="str">
        <f>'Metas de convocatoria'!B53</f>
        <v>Étnica</v>
      </c>
      <c r="C49" s="74">
        <f>'Metas de convocatoria'!E53</f>
        <v>539.0732789</v>
      </c>
      <c r="D49" s="25">
        <f>ROUND(('Metas de convocatoria'!$C$13+(C$17-9*'Metas de convocatoria'!$C$13)*$C49/SUM($C$42:$C$50))/5,0)*5</f>
        <v>65</v>
      </c>
      <c r="E49" s="19">
        <f>'Metas de convocatoria'!G53</f>
        <v>80</v>
      </c>
      <c r="F49" s="25">
        <f>ROUND(('Metas de convocatoria'!$C$13+(E$17-9*'Metas de convocatoria'!$C$13)*$C49/SUM($C$42:$C$50))/5,0)*5</f>
        <v>100</v>
      </c>
      <c r="G49" s="39">
        <f t="shared" si="10"/>
        <v>35</v>
      </c>
      <c r="H49" s="41" t="s">
        <v>285</v>
      </c>
    </row>
    <row r="50" ht="14.25" customHeight="1">
      <c r="A50" s="41" t="s">
        <v>223</v>
      </c>
      <c r="B50" s="68" t="str">
        <f>'Metas de convocatoria'!B54</f>
        <v>Migrantes y refugiados (nueva)</v>
      </c>
      <c r="C50" s="74">
        <f>'Metas de convocatoria'!E54</f>
        <v>262.8554736</v>
      </c>
      <c r="D50" s="25">
        <f>ROUND(('Metas de convocatoria'!$C$13+(C$17-9*'Metas de convocatoria'!$C$13)*$C50/SUM($C$42:$C$50))/5,0)*5</f>
        <v>45</v>
      </c>
      <c r="E50" s="19">
        <f>'Metas de convocatoria'!G54</f>
        <v>55</v>
      </c>
      <c r="F50" s="25">
        <f>ROUND(('Metas de convocatoria'!$C$13+(E$17-9*'Metas de convocatoria'!$C$13)*$C50/SUM($C$42:$C$50))/5,0)*5</f>
        <v>65</v>
      </c>
      <c r="G50" s="39">
        <f t="shared" si="10"/>
        <v>20</v>
      </c>
      <c r="H50" s="41" t="s">
        <v>285</v>
      </c>
    </row>
    <row r="51" ht="14.25" customHeight="1">
      <c r="A51" s="36" t="s">
        <v>603</v>
      </c>
      <c r="B51" s="41"/>
      <c r="C51" s="41"/>
      <c r="D51" s="70">
        <f t="shared" ref="D51:G51" si="11">SUM(D42:D50)</f>
        <v>480</v>
      </c>
      <c r="E51" s="70">
        <f t="shared" si="11"/>
        <v>600</v>
      </c>
      <c r="F51" s="70">
        <f t="shared" si="11"/>
        <v>720</v>
      </c>
      <c r="G51" s="70">
        <f t="shared" si="11"/>
        <v>240</v>
      </c>
      <c r="H51" s="41"/>
    </row>
    <row r="52" ht="14.25" customHeight="1"/>
    <row r="53" ht="14.25" customHeight="1">
      <c r="A53" s="41" t="s">
        <v>226</v>
      </c>
      <c r="B53" s="68" t="str">
        <f>'Metas de convocatoria'!B59</f>
        <v>Cultura</v>
      </c>
      <c r="C53" s="74">
        <f>'Metas de convocatoria'!E59</f>
        <v>2.449489743</v>
      </c>
      <c r="D53" s="25">
        <f>ROUND(('Metas de convocatoria'!$C$14+(C$18-12*'Metas de convocatoria'!$C$14)*$C53/SUM($C$53:$C$64))/5,0)*5</f>
        <v>25</v>
      </c>
      <c r="E53" s="19">
        <f>'Metas de convocatoria'!G59</f>
        <v>30</v>
      </c>
      <c r="F53" s="25">
        <f>ROUND(('Metas de convocatoria'!$C$14+(E$18-12*'Metas de convocatoria'!$C$14)*$C53/SUM($C$53:$C$64))/5,0)*5</f>
        <v>35</v>
      </c>
      <c r="G53" s="39">
        <f t="shared" ref="G53:G64" si="12">F53-D53</f>
        <v>10</v>
      </c>
      <c r="H53" s="41" t="s">
        <v>285</v>
      </c>
    </row>
    <row r="54" ht="14.25" customHeight="1">
      <c r="A54" s="41" t="s">
        <v>226</v>
      </c>
      <c r="B54" s="68" t="str">
        <f>'Metas de convocatoria'!B60</f>
        <v>Deporte</v>
      </c>
      <c r="C54" s="74">
        <f>'Metas de convocatoria'!E60</f>
        <v>2.449489743</v>
      </c>
      <c r="D54" s="25">
        <f>ROUND(('Metas de convocatoria'!$C$14+(C$18-12*'Metas de convocatoria'!$C$14)*$C54/SUM($C$53:$C$64))/5,0)*5</f>
        <v>25</v>
      </c>
      <c r="E54" s="19">
        <f>'Metas de convocatoria'!G60</f>
        <v>30</v>
      </c>
      <c r="F54" s="25">
        <f>ROUND(('Metas de convocatoria'!$C$14+(E$18-12*'Metas de convocatoria'!$C$14)*$C54/SUM($C$53:$C$64))/5,0)*5</f>
        <v>35</v>
      </c>
      <c r="G54" s="39">
        <f t="shared" si="12"/>
        <v>10</v>
      </c>
      <c r="H54" s="41" t="s">
        <v>285</v>
      </c>
    </row>
    <row r="55" ht="14.25" customHeight="1">
      <c r="A55" s="41" t="s">
        <v>226</v>
      </c>
      <c r="B55" s="68" t="str">
        <f>'Metas de convocatoria'!B61</f>
        <v>Salud</v>
      </c>
      <c r="C55" s="74">
        <f>'Metas de convocatoria'!E61</f>
        <v>2.449489743</v>
      </c>
      <c r="D55" s="25">
        <f>ROUND(('Metas de convocatoria'!$C$14+(C$18-12*'Metas de convocatoria'!$C$14)*$C55/SUM($C$53:$C$64))/5,0)*5</f>
        <v>25</v>
      </c>
      <c r="E55" s="19">
        <f>'Metas de convocatoria'!G61</f>
        <v>30</v>
      </c>
      <c r="F55" s="25">
        <f>ROUND(('Metas de convocatoria'!$C$14+(E$18-12*'Metas de convocatoria'!$C$14)*$C55/SUM($C$53:$C$64))/5,0)*5</f>
        <v>35</v>
      </c>
      <c r="G55" s="39">
        <f t="shared" si="12"/>
        <v>10</v>
      </c>
      <c r="H55" s="41" t="s">
        <v>285</v>
      </c>
    </row>
    <row r="56" ht="14.25" customHeight="1">
      <c r="A56" s="41" t="s">
        <v>226</v>
      </c>
      <c r="B56" s="68" t="str">
        <f>'Metas de convocatoria'!B62</f>
        <v>Educacion</v>
      </c>
      <c r="C56" s="74">
        <f>'Metas de convocatoria'!E62</f>
        <v>3.872983346</v>
      </c>
      <c r="D56" s="25">
        <f>ROUND(('Metas de convocatoria'!$C$14+(C$18-12*'Metas de convocatoria'!$C$14)*$C56/SUM($C$53:$C$64))/5,0)*5</f>
        <v>30</v>
      </c>
      <c r="E56" s="19">
        <f>'Metas de convocatoria'!G62</f>
        <v>35</v>
      </c>
      <c r="F56" s="25">
        <f>ROUND(('Metas de convocatoria'!$C$14+(E$18-12*'Metas de convocatoria'!$C$14)*$C56/SUM($C$53:$C$64))/5,0)*5</f>
        <v>40</v>
      </c>
      <c r="G56" s="39">
        <f t="shared" si="12"/>
        <v>10</v>
      </c>
      <c r="H56" s="41" t="s">
        <v>285</v>
      </c>
    </row>
    <row r="57" ht="14.25" customHeight="1">
      <c r="A57" s="41" t="s">
        <v>226</v>
      </c>
      <c r="B57" s="68" t="str">
        <f>'Metas de convocatoria'!B63</f>
        <v>Movilidad y Espacio Público</v>
      </c>
      <c r="C57" s="74">
        <f>'Metas de convocatoria'!E63</f>
        <v>2.828427125</v>
      </c>
      <c r="D57" s="25">
        <f>ROUND(('Metas de convocatoria'!$C$14+(C$18-12*'Metas de convocatoria'!$C$14)*$C57/SUM($C$53:$C$64))/5,0)*5</f>
        <v>25</v>
      </c>
      <c r="E57" s="19">
        <f>'Metas de convocatoria'!G63</f>
        <v>30</v>
      </c>
      <c r="F57" s="25">
        <f>ROUND(('Metas de convocatoria'!$C$14+(E$18-12*'Metas de convocatoria'!$C$14)*$C57/SUM($C$53:$C$64))/5,0)*5</f>
        <v>35</v>
      </c>
      <c r="G57" s="39">
        <f t="shared" si="12"/>
        <v>10</v>
      </c>
      <c r="H57" s="41" t="s">
        <v>285</v>
      </c>
    </row>
    <row r="58" ht="14.25" customHeight="1">
      <c r="A58" s="41" t="s">
        <v>226</v>
      </c>
      <c r="B58" s="68" t="str">
        <f>'Metas de convocatoria'!B64</f>
        <v>Servicios públicos, infraestructura y vivienda</v>
      </c>
      <c r="C58" s="74">
        <f>'Metas de convocatoria'!E64</f>
        <v>3.31662479</v>
      </c>
      <c r="D58" s="25">
        <f>ROUND(('Metas de convocatoria'!$C$14+(C$18-12*'Metas de convocatoria'!$C$14)*$C58/SUM($C$53:$C$64))/5,0)*5</f>
        <v>25</v>
      </c>
      <c r="E58" s="19">
        <f>'Metas de convocatoria'!G64</f>
        <v>35</v>
      </c>
      <c r="F58" s="25">
        <f>ROUND(('Metas de convocatoria'!$C$14+(E$18-12*'Metas de convocatoria'!$C$14)*$C58/SUM($C$53:$C$64))/5,0)*5</f>
        <v>40</v>
      </c>
      <c r="G58" s="39">
        <f t="shared" si="12"/>
        <v>15</v>
      </c>
      <c r="H58" s="41" t="s">
        <v>285</v>
      </c>
    </row>
    <row r="59" ht="14.25" customHeight="1">
      <c r="A59" s="41" t="s">
        <v>226</v>
      </c>
      <c r="B59" s="68" t="str">
        <f>'Metas de convocatoria'!B65</f>
        <v>Seguridad y Convivencia Ciudadana</v>
      </c>
      <c r="C59" s="74">
        <f>'Metas de convocatoria'!E65</f>
        <v>6.164414003</v>
      </c>
      <c r="D59" s="25">
        <f>C$18-(SUM(D53:D58)+SUM(D60:D64))</f>
        <v>35</v>
      </c>
      <c r="E59" s="19">
        <f>'Metas de convocatoria'!G65</f>
        <v>40</v>
      </c>
      <c r="F59" s="25">
        <f>E$18-(SUM(F53:F58)+SUM(F60:F64))</f>
        <v>50</v>
      </c>
      <c r="G59" s="39">
        <f t="shared" si="12"/>
        <v>15</v>
      </c>
      <c r="H59" s="41" t="s">
        <v>329</v>
      </c>
    </row>
    <row r="60" ht="14.25" customHeight="1">
      <c r="A60" s="41" t="s">
        <v>226</v>
      </c>
      <c r="B60" s="68" t="str">
        <f>'Metas de convocatoria'!B66</f>
        <v>Medio ambiente, Gestión del riesgo y Planeación</v>
      </c>
      <c r="C60" s="74">
        <f>'Metas de convocatoria'!E66</f>
        <v>4.898979486</v>
      </c>
      <c r="D60" s="25">
        <f>ROUND(('Metas de convocatoria'!$C$14+(C$18-12*'Metas de convocatoria'!$C$14)*$C60/SUM($C$53:$C$64))/5,0)*5</f>
        <v>30</v>
      </c>
      <c r="E60" s="19">
        <f>'Metas de convocatoria'!G66</f>
        <v>40</v>
      </c>
      <c r="F60" s="25">
        <f>ROUND(('Metas de convocatoria'!$C$14+(E$18-12*'Metas de convocatoria'!$C$14)*$C60/SUM($C$53:$C$64))/5,0)*5</f>
        <v>50</v>
      </c>
      <c r="G60" s="39">
        <f t="shared" si="12"/>
        <v>20</v>
      </c>
      <c r="H60" s="41" t="s">
        <v>285</v>
      </c>
    </row>
    <row r="61" ht="14.25" customHeight="1">
      <c r="A61" s="41" t="s">
        <v>226</v>
      </c>
      <c r="B61" s="68" t="str">
        <f>'Metas de convocatoria'!B67</f>
        <v>Desarrollo económico, Turismo / Competitividad , ciencia y tecnología</v>
      </c>
      <c r="C61" s="74">
        <f>'Metas de convocatoria'!E67</f>
        <v>5.291502622</v>
      </c>
      <c r="D61" s="25">
        <f>ROUND(('Metas de convocatoria'!$C$14+(C$18-12*'Metas de convocatoria'!$C$14)*$C61/SUM($C$53:$C$64))/5,0)*5</f>
        <v>30</v>
      </c>
      <c r="E61" s="19">
        <f>'Metas de convocatoria'!G67</f>
        <v>40</v>
      </c>
      <c r="F61" s="25">
        <f>ROUND(('Metas de convocatoria'!$C$14+(E$18-12*'Metas de convocatoria'!$C$14)*$C61/SUM($C$53:$C$64))/5,0)*5</f>
        <v>50</v>
      </c>
      <c r="G61" s="39">
        <f t="shared" si="12"/>
        <v>20</v>
      </c>
      <c r="H61" s="41" t="s">
        <v>285</v>
      </c>
    </row>
    <row r="62" ht="14.25" customHeight="1">
      <c r="A62" s="41" t="s">
        <v>226</v>
      </c>
      <c r="B62" s="68" t="str">
        <f>'Metas de convocatoria'!B68</f>
        <v>Transparencia y Cultura Ciudadana</v>
      </c>
      <c r="C62" s="74">
        <f>'Metas de convocatoria'!E68</f>
        <v>5.916079783</v>
      </c>
      <c r="D62" s="25">
        <f>ROUND(('Metas de convocatoria'!$C$14+(C$18-12*'Metas de convocatoria'!$C$14)*$C62/SUM($C$53:$C$64))/5,0)*5</f>
        <v>30</v>
      </c>
      <c r="E62" s="19">
        <f>'Metas de convocatoria'!G68</f>
        <v>45</v>
      </c>
      <c r="F62" s="25">
        <f>ROUND(('Metas de convocatoria'!$C$14+(E$18-12*'Metas de convocatoria'!$C$14)*$C62/SUM($C$53:$C$64))/5,0)*5</f>
        <v>55</v>
      </c>
      <c r="G62" s="39">
        <f t="shared" si="12"/>
        <v>25</v>
      </c>
      <c r="H62" s="41" t="s">
        <v>285</v>
      </c>
    </row>
    <row r="63" ht="14.25" customHeight="1">
      <c r="A63" s="41" t="s">
        <v>226</v>
      </c>
      <c r="B63" s="68" t="str">
        <f>'Metas de convocatoria'!B69</f>
        <v>Mesa de Construcción de Paz</v>
      </c>
      <c r="C63" s="74">
        <f>'Metas de convocatoria'!E69</f>
        <v>4.123105626</v>
      </c>
      <c r="D63" s="25">
        <f>ROUND(('Metas de convocatoria'!$C$14+(C$18-12*'Metas de convocatoria'!$C$14)*$C63/SUM($C$53:$C$64))/5,0)*5</f>
        <v>30</v>
      </c>
      <c r="E63" s="19">
        <f>'Metas de convocatoria'!G69</f>
        <v>35</v>
      </c>
      <c r="F63" s="25">
        <f>ROUND(('Metas de convocatoria'!$C$14+(E$18-12*'Metas de convocatoria'!$C$14)*$C63/SUM($C$53:$C$64))/5,0)*5</f>
        <v>45</v>
      </c>
      <c r="G63" s="39">
        <f t="shared" si="12"/>
        <v>15</v>
      </c>
      <c r="H63" s="41" t="s">
        <v>285</v>
      </c>
    </row>
    <row r="64" ht="14.25" customHeight="1">
      <c r="A64" s="41" t="s">
        <v>226</v>
      </c>
      <c r="B64" s="68" t="str">
        <f>'Metas de convocatoria'!B70</f>
        <v>Seguridad alimentaria (nueva)</v>
      </c>
      <c r="C64" s="74">
        <f>'Metas de convocatoria'!E70</f>
        <v>2.236067977</v>
      </c>
      <c r="D64" s="25">
        <f>ROUND(('Metas de convocatoria'!$C$14+(C$18-12*'Metas de convocatoria'!$C$14)*$C64/SUM($C$53:$C$64))/5,0)*5</f>
        <v>25</v>
      </c>
      <c r="E64" s="19">
        <f>'Metas de convocatoria'!G70</f>
        <v>30</v>
      </c>
      <c r="F64" s="25">
        <f>ROUND(('Metas de convocatoria'!$C$14+(E$18-12*'Metas de convocatoria'!$C$14)*$C64/SUM($C$53:$C$64))/5,0)*5</f>
        <v>35</v>
      </c>
      <c r="G64" s="39">
        <f t="shared" si="12"/>
        <v>10</v>
      </c>
      <c r="H64" s="41" t="s">
        <v>285</v>
      </c>
    </row>
    <row r="65" ht="14.25" customHeight="1">
      <c r="A65" s="36" t="s">
        <v>607</v>
      </c>
      <c r="B65" s="41"/>
      <c r="C65" s="41"/>
      <c r="D65" s="70">
        <f t="shared" ref="D65:G65" si="13">SUM(D53:D64)</f>
        <v>335</v>
      </c>
      <c r="E65" s="70">
        <f t="shared" si="13"/>
        <v>420</v>
      </c>
      <c r="F65" s="70">
        <f t="shared" si="13"/>
        <v>505</v>
      </c>
      <c r="G65" s="70">
        <f t="shared" si="13"/>
        <v>170</v>
      </c>
      <c r="H65" s="41"/>
    </row>
    <row r="66" ht="14.25" customHeight="1"/>
    <row r="67" ht="15.0" customHeight="1">
      <c r="A67" s="109" t="s">
        <v>423</v>
      </c>
      <c r="B67" s="14"/>
      <c r="C67" s="67"/>
      <c r="D67" s="65">
        <f t="shared" ref="D67:G67" si="14">D27+D40+D51+D65</f>
        <v>2000</v>
      </c>
      <c r="E67" s="65">
        <f t="shared" si="14"/>
        <v>2500</v>
      </c>
      <c r="F67" s="65">
        <f t="shared" si="14"/>
        <v>3000</v>
      </c>
      <c r="G67" s="65">
        <f t="shared" si="14"/>
        <v>1000</v>
      </c>
      <c r="H67" s="67"/>
    </row>
    <row r="68" ht="15.0" customHeight="1">
      <c r="A68" s="18" t="s">
        <v>608</v>
      </c>
      <c r="B68" s="14"/>
      <c r="C68" s="41"/>
      <c r="D68" s="110">
        <f>D67-$C$7</f>
        <v>0</v>
      </c>
      <c r="E68" s="110">
        <f>E67-$C$5</f>
        <v>0</v>
      </c>
      <c r="F68" s="110">
        <f>F67-$C$8</f>
        <v>0</v>
      </c>
      <c r="G68" s="41"/>
      <c r="H68" s="41"/>
    </row>
    <row r="69" ht="14.25" customHeight="1"/>
    <row r="70" ht="15.0" customHeight="1">
      <c r="A70" s="111" t="s">
        <v>609</v>
      </c>
    </row>
    <row r="71" ht="25.5" customHeight="1">
      <c r="A71" s="10" t="s">
        <v>610</v>
      </c>
    </row>
    <row r="72" ht="25.5" customHeight="1">
      <c r="A72" s="10" t="s">
        <v>611</v>
      </c>
    </row>
    <row r="73" ht="25.5" customHeight="1">
      <c r="A73" s="10" t="s">
        <v>612</v>
      </c>
    </row>
    <row r="74" ht="25.5" customHeight="1">
      <c r="A74" s="10" t="s">
        <v>613</v>
      </c>
    </row>
    <row r="75" ht="25.5" customHeight="1">
      <c r="A75" s="10" t="s">
        <v>614</v>
      </c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6:B6"/>
    <mergeCell ref="A7:B7"/>
    <mergeCell ref="A8:B8"/>
    <mergeCell ref="A9:B9"/>
    <mergeCell ref="A10:B10"/>
    <mergeCell ref="A11:B11"/>
    <mergeCell ref="A67:B67"/>
    <mergeCell ref="A68:B68"/>
    <mergeCell ref="A1:H1"/>
    <mergeCell ref="A2:H2"/>
    <mergeCell ref="A4:B4"/>
    <mergeCell ref="D4:H4"/>
    <mergeCell ref="A5:B5"/>
    <mergeCell ref="D5:H5"/>
    <mergeCell ref="D6:H6"/>
    <mergeCell ref="A70:H70"/>
    <mergeCell ref="A71:H71"/>
    <mergeCell ref="A72:H72"/>
    <mergeCell ref="A73:H73"/>
    <mergeCell ref="A74:H74"/>
    <mergeCell ref="A75:H75"/>
    <mergeCell ref="D7:H7"/>
    <mergeCell ref="D8:H8"/>
    <mergeCell ref="D9:H9"/>
    <mergeCell ref="D10:H10"/>
    <mergeCell ref="D11:H11"/>
    <mergeCell ref="A13:H13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0"/>
    <col customWidth="1" min="2" max="2" width="34.0"/>
    <col customWidth="1" min="3" max="3" width="18.29"/>
    <col customWidth="1" min="4" max="4" width="46.0"/>
    <col customWidth="1" min="5" max="5" width="20.0"/>
    <col customWidth="1" min="6" max="6" width="11.0"/>
    <col customWidth="1" min="7" max="7" width="15.14"/>
    <col customWidth="1" min="8" max="8" width="34.0"/>
    <col customWidth="1" min="9" max="9" width="14.0"/>
    <col customWidth="1" min="10" max="10" width="60.0"/>
    <col customWidth="1" min="11" max="11" width="40.0"/>
  </cols>
  <sheetData>
    <row r="1" ht="30.0" customHeight="1">
      <c r="A1" s="8" t="s">
        <v>17</v>
      </c>
      <c r="B1" s="8" t="s">
        <v>21</v>
      </c>
      <c r="C1" s="8" t="s">
        <v>22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</row>
    <row r="2" ht="14.25" customHeight="1">
      <c r="A2" s="11" t="s">
        <v>15</v>
      </c>
      <c r="B2" s="11" t="s">
        <v>16</v>
      </c>
      <c r="C2" s="12" t="s">
        <v>33</v>
      </c>
      <c r="D2" s="12" t="s">
        <v>35</v>
      </c>
      <c r="E2" s="12" t="s">
        <v>36</v>
      </c>
      <c r="F2" s="12" t="s">
        <v>37</v>
      </c>
      <c r="G2" s="15" t="s">
        <v>38</v>
      </c>
      <c r="H2" s="12" t="s">
        <v>39</v>
      </c>
      <c r="I2" s="12" t="s">
        <v>40</v>
      </c>
      <c r="J2" s="12" t="s">
        <v>41</v>
      </c>
      <c r="K2" s="12" t="s">
        <v>43</v>
      </c>
    </row>
    <row r="3" ht="14.25" customHeight="1">
      <c r="A3" s="11" t="s">
        <v>15</v>
      </c>
      <c r="B3" s="11" t="s">
        <v>16</v>
      </c>
      <c r="C3" s="12" t="s">
        <v>33</v>
      </c>
      <c r="D3" s="12" t="s">
        <v>44</v>
      </c>
      <c r="E3" s="12" t="s">
        <v>45</v>
      </c>
      <c r="F3" s="12" t="s">
        <v>37</v>
      </c>
      <c r="G3" s="15" t="s">
        <v>38</v>
      </c>
      <c r="H3" s="12" t="s">
        <v>47</v>
      </c>
      <c r="I3" s="12" t="s">
        <v>48</v>
      </c>
      <c r="J3" s="12" t="s">
        <v>41</v>
      </c>
      <c r="K3" s="12" t="s">
        <v>43</v>
      </c>
    </row>
    <row r="4" ht="14.25" customHeight="1">
      <c r="A4" s="11" t="s">
        <v>15</v>
      </c>
      <c r="B4" s="11" t="s">
        <v>16</v>
      </c>
      <c r="C4" s="12" t="s">
        <v>33</v>
      </c>
      <c r="D4" s="12" t="s">
        <v>49</v>
      </c>
      <c r="E4" s="12" t="s">
        <v>45</v>
      </c>
      <c r="F4" s="12" t="s">
        <v>37</v>
      </c>
      <c r="G4" s="15" t="s">
        <v>38</v>
      </c>
      <c r="H4" s="12" t="s">
        <v>50</v>
      </c>
      <c r="I4" s="12" t="s">
        <v>48</v>
      </c>
      <c r="J4" s="12" t="s">
        <v>41</v>
      </c>
      <c r="K4" s="12" t="s">
        <v>43</v>
      </c>
    </row>
    <row r="5" ht="14.25" customHeight="1">
      <c r="A5" s="11" t="s">
        <v>15</v>
      </c>
      <c r="B5" s="11" t="s">
        <v>16</v>
      </c>
      <c r="C5" s="12" t="s">
        <v>33</v>
      </c>
      <c r="D5" s="12" t="s">
        <v>52</v>
      </c>
      <c r="E5" s="12" t="s">
        <v>53</v>
      </c>
      <c r="F5" s="12" t="s">
        <v>37</v>
      </c>
      <c r="G5" s="15" t="s">
        <v>38</v>
      </c>
      <c r="H5" s="12" t="s">
        <v>54</v>
      </c>
      <c r="I5" s="12" t="s">
        <v>48</v>
      </c>
      <c r="J5" s="12" t="s">
        <v>41</v>
      </c>
      <c r="K5" s="12" t="s">
        <v>43</v>
      </c>
    </row>
    <row r="6" ht="14.25" customHeight="1">
      <c r="A6" s="11" t="s">
        <v>15</v>
      </c>
      <c r="B6" s="11" t="s">
        <v>16</v>
      </c>
      <c r="C6" s="12" t="s">
        <v>55</v>
      </c>
      <c r="D6" s="12" t="s">
        <v>56</v>
      </c>
      <c r="E6" s="12" t="s">
        <v>57</v>
      </c>
      <c r="F6" s="12" t="s">
        <v>58</v>
      </c>
      <c r="G6" s="15" t="s">
        <v>38</v>
      </c>
      <c r="H6" s="12" t="s">
        <v>47</v>
      </c>
      <c r="I6" s="12" t="s">
        <v>48</v>
      </c>
      <c r="J6" s="12" t="s">
        <v>59</v>
      </c>
      <c r="K6" s="12" t="s">
        <v>43</v>
      </c>
    </row>
    <row r="7" ht="14.25" customHeight="1">
      <c r="A7" s="11" t="s">
        <v>15</v>
      </c>
      <c r="B7" s="11" t="s">
        <v>16</v>
      </c>
      <c r="C7" s="12" t="s">
        <v>60</v>
      </c>
      <c r="D7" s="12" t="s">
        <v>61</v>
      </c>
      <c r="E7" s="12" t="s">
        <v>62</v>
      </c>
      <c r="F7" s="12" t="s">
        <v>63</v>
      </c>
      <c r="G7" s="15" t="s">
        <v>38</v>
      </c>
      <c r="H7" s="12" t="s">
        <v>64</v>
      </c>
      <c r="I7" s="12" t="s">
        <v>48</v>
      </c>
      <c r="J7" s="12" t="s">
        <v>65</v>
      </c>
      <c r="K7" s="12" t="s">
        <v>43</v>
      </c>
    </row>
    <row r="8" ht="14.25" customHeight="1">
      <c r="A8" s="11" t="s">
        <v>15</v>
      </c>
      <c r="B8" s="11" t="s">
        <v>16</v>
      </c>
      <c r="C8" s="12" t="s">
        <v>66</v>
      </c>
      <c r="D8" s="12" t="s">
        <v>67</v>
      </c>
      <c r="E8" s="12" t="s">
        <v>62</v>
      </c>
      <c r="F8" s="12" t="s">
        <v>63</v>
      </c>
      <c r="G8" s="15" t="s">
        <v>38</v>
      </c>
      <c r="H8" s="12" t="s">
        <v>68</v>
      </c>
      <c r="I8" s="12" t="s">
        <v>48</v>
      </c>
      <c r="J8" s="12" t="s">
        <v>69</v>
      </c>
      <c r="K8" s="12" t="s">
        <v>43</v>
      </c>
    </row>
    <row r="9" ht="14.25" customHeight="1">
      <c r="A9" s="11" t="s">
        <v>15</v>
      </c>
      <c r="B9" s="11" t="s">
        <v>16</v>
      </c>
      <c r="C9" s="12" t="s">
        <v>70</v>
      </c>
      <c r="D9" s="12" t="s">
        <v>71</v>
      </c>
      <c r="E9" s="12" t="s">
        <v>57</v>
      </c>
      <c r="F9" s="12" t="s">
        <v>58</v>
      </c>
      <c r="G9" s="15" t="s">
        <v>38</v>
      </c>
      <c r="H9" s="12" t="s">
        <v>72</v>
      </c>
      <c r="I9" s="12" t="s">
        <v>48</v>
      </c>
      <c r="J9" s="12" t="s">
        <v>74</v>
      </c>
      <c r="K9" s="12" t="s">
        <v>43</v>
      </c>
    </row>
    <row r="10" ht="14.25" customHeight="1">
      <c r="A10" s="11" t="s">
        <v>15</v>
      </c>
      <c r="B10" s="11" t="s">
        <v>16</v>
      </c>
      <c r="C10" s="12" t="s">
        <v>75</v>
      </c>
      <c r="D10" s="12" t="s">
        <v>76</v>
      </c>
      <c r="E10" s="12" t="s">
        <v>108</v>
      </c>
      <c r="F10" s="12" t="s">
        <v>58</v>
      </c>
      <c r="G10" s="15" t="s">
        <v>38</v>
      </c>
      <c r="H10" s="12" t="s">
        <v>72</v>
      </c>
      <c r="I10" s="12" t="s">
        <v>48</v>
      </c>
      <c r="J10" s="12" t="s">
        <v>110</v>
      </c>
      <c r="K10" s="12" t="s">
        <v>43</v>
      </c>
    </row>
    <row r="11" ht="14.25" customHeight="1">
      <c r="A11" s="11" t="s">
        <v>15</v>
      </c>
      <c r="B11" s="11" t="s">
        <v>16</v>
      </c>
      <c r="C11" s="12" t="s">
        <v>33</v>
      </c>
      <c r="D11" s="12" t="s">
        <v>112</v>
      </c>
      <c r="E11" s="12" t="s">
        <v>113</v>
      </c>
      <c r="F11" s="12" t="s">
        <v>37</v>
      </c>
      <c r="G11" s="12" t="s">
        <v>40</v>
      </c>
      <c r="H11" s="12" t="s">
        <v>114</v>
      </c>
      <c r="I11" s="12" t="s">
        <v>48</v>
      </c>
      <c r="J11" s="12" t="s">
        <v>41</v>
      </c>
      <c r="K11" s="12" t="s">
        <v>116</v>
      </c>
    </row>
    <row r="12" ht="14.25" customHeight="1">
      <c r="A12" s="11" t="s">
        <v>15</v>
      </c>
      <c r="B12" s="11" t="s">
        <v>16</v>
      </c>
      <c r="C12" s="12" t="s">
        <v>33</v>
      </c>
      <c r="D12" s="12" t="s">
        <v>117</v>
      </c>
      <c r="E12" s="12" t="s">
        <v>53</v>
      </c>
      <c r="F12" s="12" t="s">
        <v>37</v>
      </c>
      <c r="G12" s="12" t="s">
        <v>40</v>
      </c>
      <c r="H12" s="12" t="s">
        <v>118</v>
      </c>
      <c r="I12" s="12" t="s">
        <v>40</v>
      </c>
      <c r="J12" s="12" t="s">
        <v>41</v>
      </c>
      <c r="K12" s="12" t="s">
        <v>116</v>
      </c>
    </row>
    <row r="13" ht="14.25" customHeight="1">
      <c r="A13" s="11" t="s">
        <v>15</v>
      </c>
      <c r="B13" s="11" t="s">
        <v>16</v>
      </c>
      <c r="C13" s="12" t="s">
        <v>119</v>
      </c>
      <c r="D13" s="12" t="s">
        <v>120</v>
      </c>
      <c r="E13" s="12" t="s">
        <v>62</v>
      </c>
      <c r="F13" s="12" t="s">
        <v>63</v>
      </c>
      <c r="G13" s="12" t="s">
        <v>40</v>
      </c>
      <c r="H13" s="12" t="s">
        <v>121</v>
      </c>
      <c r="I13" s="12" t="s">
        <v>48</v>
      </c>
      <c r="J13" s="12" t="s">
        <v>122</v>
      </c>
      <c r="K13" s="12" t="s">
        <v>116</v>
      </c>
    </row>
    <row r="14" ht="14.25" customHeight="1">
      <c r="A14" s="11" t="s">
        <v>15</v>
      </c>
      <c r="B14" s="11" t="s">
        <v>16</v>
      </c>
      <c r="C14" s="12" t="s">
        <v>123</v>
      </c>
      <c r="D14" s="12" t="s">
        <v>125</v>
      </c>
      <c r="E14" s="12" t="s">
        <v>62</v>
      </c>
      <c r="F14" s="12" t="s">
        <v>63</v>
      </c>
      <c r="G14" s="12" t="s">
        <v>40</v>
      </c>
      <c r="H14" s="12" t="s">
        <v>128</v>
      </c>
      <c r="I14" s="12" t="s">
        <v>48</v>
      </c>
      <c r="J14" s="12" t="s">
        <v>129</v>
      </c>
      <c r="K14" s="12" t="s">
        <v>116</v>
      </c>
    </row>
    <row r="15" ht="14.25" customHeight="1">
      <c r="A15" s="11" t="s">
        <v>15</v>
      </c>
      <c r="B15" s="11" t="s">
        <v>16</v>
      </c>
      <c r="C15" s="12" t="s">
        <v>131</v>
      </c>
      <c r="D15" s="12" t="s">
        <v>132</v>
      </c>
      <c r="E15" s="12" t="s">
        <v>108</v>
      </c>
      <c r="F15" s="12" t="s">
        <v>58</v>
      </c>
      <c r="G15" s="12" t="s">
        <v>40</v>
      </c>
      <c r="H15" s="12" t="s">
        <v>133</v>
      </c>
      <c r="I15" s="12" t="s">
        <v>48</v>
      </c>
      <c r="J15" s="12" t="s">
        <v>134</v>
      </c>
      <c r="K15" s="12" t="s">
        <v>116</v>
      </c>
    </row>
    <row r="16" ht="14.25" customHeight="1">
      <c r="A16" s="11" t="s">
        <v>15</v>
      </c>
      <c r="B16" s="11" t="s">
        <v>16</v>
      </c>
      <c r="C16" s="12" t="s">
        <v>135</v>
      </c>
      <c r="D16" s="12" t="s">
        <v>136</v>
      </c>
      <c r="E16" s="12" t="s">
        <v>137</v>
      </c>
      <c r="F16" s="12" t="s">
        <v>37</v>
      </c>
      <c r="G16" s="12" t="s">
        <v>40</v>
      </c>
      <c r="H16" s="12" t="s">
        <v>138</v>
      </c>
      <c r="I16" s="12" t="s">
        <v>48</v>
      </c>
      <c r="J16" s="12" t="s">
        <v>139</v>
      </c>
      <c r="K16" s="12" t="s">
        <v>116</v>
      </c>
    </row>
    <row r="17" ht="14.25" customHeight="1">
      <c r="A17" s="11" t="s">
        <v>15</v>
      </c>
      <c r="B17" s="11" t="s">
        <v>16</v>
      </c>
      <c r="C17" s="12" t="s">
        <v>140</v>
      </c>
      <c r="D17" s="12" t="s">
        <v>141</v>
      </c>
      <c r="E17" s="12" t="s">
        <v>137</v>
      </c>
      <c r="F17" s="12" t="s">
        <v>37</v>
      </c>
      <c r="G17" s="12" t="s">
        <v>40</v>
      </c>
      <c r="H17" s="12" t="s">
        <v>68</v>
      </c>
      <c r="I17" s="12" t="s">
        <v>48</v>
      </c>
      <c r="J17" s="12" t="s">
        <v>143</v>
      </c>
      <c r="K17" s="12" t="s">
        <v>116</v>
      </c>
    </row>
    <row r="18" ht="14.25" customHeight="1">
      <c r="A18" s="11" t="s">
        <v>15</v>
      </c>
      <c r="B18" s="11" t="s">
        <v>16</v>
      </c>
      <c r="C18" s="12" t="s">
        <v>145</v>
      </c>
      <c r="D18" s="12" t="s">
        <v>146</v>
      </c>
      <c r="E18" s="12" t="s">
        <v>137</v>
      </c>
      <c r="F18" s="12" t="s">
        <v>37</v>
      </c>
      <c r="G18" s="12" t="s">
        <v>40</v>
      </c>
      <c r="H18" s="12" t="s">
        <v>138</v>
      </c>
      <c r="I18" s="12" t="s">
        <v>48</v>
      </c>
      <c r="J18" s="12" t="s">
        <v>148</v>
      </c>
      <c r="K18" s="12" t="s">
        <v>116</v>
      </c>
    </row>
    <row r="19" ht="14.25" customHeight="1">
      <c r="A19" s="11" t="s">
        <v>15</v>
      </c>
      <c r="B19" s="11" t="s">
        <v>16</v>
      </c>
      <c r="C19" s="12" t="s">
        <v>149</v>
      </c>
      <c r="D19" s="12" t="s">
        <v>150</v>
      </c>
      <c r="E19" s="12" t="s">
        <v>137</v>
      </c>
      <c r="F19" s="12" t="s">
        <v>37</v>
      </c>
      <c r="G19" s="12" t="s">
        <v>40</v>
      </c>
      <c r="H19" s="12" t="s">
        <v>138</v>
      </c>
      <c r="I19" s="12" t="s">
        <v>48</v>
      </c>
      <c r="J19" s="12" t="s">
        <v>153</v>
      </c>
      <c r="K19" s="12" t="s">
        <v>116</v>
      </c>
    </row>
    <row r="20" ht="14.25" customHeight="1">
      <c r="A20" s="11" t="s">
        <v>15</v>
      </c>
      <c r="B20" s="11" t="s">
        <v>16</v>
      </c>
      <c r="C20" s="12" t="s">
        <v>154</v>
      </c>
      <c r="D20" s="12" t="s">
        <v>155</v>
      </c>
      <c r="E20" s="12" t="s">
        <v>156</v>
      </c>
      <c r="F20" s="12" t="s">
        <v>37</v>
      </c>
      <c r="G20" s="12" t="s">
        <v>40</v>
      </c>
      <c r="H20" s="12" t="s">
        <v>68</v>
      </c>
      <c r="I20" s="12" t="s">
        <v>40</v>
      </c>
      <c r="J20" s="12" t="s">
        <v>157</v>
      </c>
      <c r="K20" s="12" t="s">
        <v>116</v>
      </c>
    </row>
    <row r="21" ht="15.75" customHeight="1">
      <c r="A21" s="11" t="s">
        <v>15</v>
      </c>
      <c r="B21" s="11" t="s">
        <v>84</v>
      </c>
      <c r="C21" s="12" t="s">
        <v>33</v>
      </c>
      <c r="D21" s="12" t="s">
        <v>35</v>
      </c>
      <c r="E21" s="12" t="s">
        <v>36</v>
      </c>
      <c r="F21" s="12" t="s">
        <v>37</v>
      </c>
      <c r="G21" s="15" t="s">
        <v>38</v>
      </c>
      <c r="H21" s="12" t="s">
        <v>39</v>
      </c>
      <c r="I21" s="12" t="s">
        <v>40</v>
      </c>
      <c r="J21" s="12" t="s">
        <v>41</v>
      </c>
      <c r="K21" s="12" t="s">
        <v>159</v>
      </c>
    </row>
    <row r="22" ht="15.75" customHeight="1">
      <c r="A22" s="11" t="s">
        <v>15</v>
      </c>
      <c r="B22" s="11" t="s">
        <v>84</v>
      </c>
      <c r="C22" s="12" t="s">
        <v>33</v>
      </c>
      <c r="D22" s="12" t="s">
        <v>44</v>
      </c>
      <c r="E22" s="12" t="s">
        <v>45</v>
      </c>
      <c r="F22" s="12" t="s">
        <v>37</v>
      </c>
      <c r="G22" s="15" t="s">
        <v>38</v>
      </c>
      <c r="H22" s="12" t="s">
        <v>47</v>
      </c>
      <c r="I22" s="12" t="s">
        <v>48</v>
      </c>
      <c r="J22" s="12" t="s">
        <v>41</v>
      </c>
      <c r="K22" s="12" t="s">
        <v>159</v>
      </c>
    </row>
    <row r="23" ht="15.75" customHeight="1">
      <c r="A23" s="11" t="s">
        <v>15</v>
      </c>
      <c r="B23" s="11" t="s">
        <v>84</v>
      </c>
      <c r="C23" s="12" t="s">
        <v>33</v>
      </c>
      <c r="D23" s="12" t="s">
        <v>52</v>
      </c>
      <c r="E23" s="12" t="s">
        <v>53</v>
      </c>
      <c r="F23" s="12" t="s">
        <v>37</v>
      </c>
      <c r="G23" s="15" t="s">
        <v>38</v>
      </c>
      <c r="H23" s="12" t="s">
        <v>54</v>
      </c>
      <c r="I23" s="12" t="s">
        <v>48</v>
      </c>
      <c r="J23" s="12" t="s">
        <v>41</v>
      </c>
      <c r="K23" s="12" t="s">
        <v>159</v>
      </c>
    </row>
    <row r="24" ht="15.75" customHeight="1">
      <c r="A24" s="11" t="s">
        <v>15</v>
      </c>
      <c r="B24" s="11" t="s">
        <v>84</v>
      </c>
      <c r="C24" s="12" t="s">
        <v>33</v>
      </c>
      <c r="D24" s="12" t="s">
        <v>162</v>
      </c>
      <c r="E24" s="12" t="s">
        <v>53</v>
      </c>
      <c r="F24" s="12" t="s">
        <v>37</v>
      </c>
      <c r="G24" s="15" t="s">
        <v>38</v>
      </c>
      <c r="H24" s="12" t="s">
        <v>121</v>
      </c>
      <c r="I24" s="12" t="s">
        <v>48</v>
      </c>
      <c r="J24" s="12" t="s">
        <v>41</v>
      </c>
      <c r="K24" s="12" t="s">
        <v>159</v>
      </c>
    </row>
    <row r="25" ht="15.75" customHeight="1">
      <c r="A25" s="11" t="s">
        <v>15</v>
      </c>
      <c r="B25" s="11" t="s">
        <v>84</v>
      </c>
      <c r="C25" s="12" t="s">
        <v>55</v>
      </c>
      <c r="D25" s="12" t="s">
        <v>56</v>
      </c>
      <c r="E25" s="12" t="s">
        <v>57</v>
      </c>
      <c r="F25" s="12" t="s">
        <v>58</v>
      </c>
      <c r="G25" s="15" t="s">
        <v>38</v>
      </c>
      <c r="H25" s="12" t="s">
        <v>47</v>
      </c>
      <c r="I25" s="12" t="s">
        <v>48</v>
      </c>
      <c r="J25" s="12" t="s">
        <v>59</v>
      </c>
      <c r="K25" s="12" t="s">
        <v>159</v>
      </c>
    </row>
    <row r="26" ht="15.75" customHeight="1">
      <c r="A26" s="11" t="s">
        <v>15</v>
      </c>
      <c r="B26" s="11" t="s">
        <v>84</v>
      </c>
      <c r="C26" s="12" t="s">
        <v>119</v>
      </c>
      <c r="D26" s="12" t="s">
        <v>120</v>
      </c>
      <c r="E26" s="12" t="s">
        <v>62</v>
      </c>
      <c r="F26" s="12" t="s">
        <v>63</v>
      </c>
      <c r="G26" s="15" t="s">
        <v>38</v>
      </c>
      <c r="H26" s="12" t="s">
        <v>121</v>
      </c>
      <c r="I26" s="12" t="s">
        <v>48</v>
      </c>
      <c r="J26" s="12" t="s">
        <v>122</v>
      </c>
      <c r="K26" s="12" t="s">
        <v>159</v>
      </c>
    </row>
    <row r="27" ht="15.75" customHeight="1">
      <c r="A27" s="11" t="s">
        <v>15</v>
      </c>
      <c r="B27" s="11" t="s">
        <v>84</v>
      </c>
      <c r="C27" s="12" t="s">
        <v>70</v>
      </c>
      <c r="D27" s="12" t="s">
        <v>71</v>
      </c>
      <c r="E27" s="12" t="s">
        <v>57</v>
      </c>
      <c r="F27" s="12" t="s">
        <v>58</v>
      </c>
      <c r="G27" s="15" t="s">
        <v>38</v>
      </c>
      <c r="H27" s="12" t="s">
        <v>72</v>
      </c>
      <c r="I27" s="12" t="s">
        <v>48</v>
      </c>
      <c r="J27" s="12" t="s">
        <v>74</v>
      </c>
      <c r="K27" s="12" t="s">
        <v>159</v>
      </c>
    </row>
    <row r="28" ht="15.75" customHeight="1">
      <c r="A28" s="11" t="s">
        <v>15</v>
      </c>
      <c r="B28" s="11" t="s">
        <v>84</v>
      </c>
      <c r="C28" s="12" t="s">
        <v>33</v>
      </c>
      <c r="D28" s="12" t="s">
        <v>165</v>
      </c>
      <c r="E28" s="12" t="s">
        <v>45</v>
      </c>
      <c r="F28" s="12" t="s">
        <v>37</v>
      </c>
      <c r="G28" s="12" t="s">
        <v>40</v>
      </c>
      <c r="H28" s="12" t="s">
        <v>64</v>
      </c>
      <c r="I28" s="12" t="s">
        <v>48</v>
      </c>
      <c r="J28" s="12" t="s">
        <v>41</v>
      </c>
      <c r="K28" s="12" t="s">
        <v>116</v>
      </c>
    </row>
    <row r="29" ht="15.75" customHeight="1">
      <c r="A29" s="11" t="s">
        <v>15</v>
      </c>
      <c r="B29" s="11" t="s">
        <v>84</v>
      </c>
      <c r="C29" s="12" t="s">
        <v>33</v>
      </c>
      <c r="D29" s="12" t="s">
        <v>112</v>
      </c>
      <c r="E29" s="12" t="s">
        <v>113</v>
      </c>
      <c r="F29" s="12" t="s">
        <v>37</v>
      </c>
      <c r="G29" s="12" t="s">
        <v>40</v>
      </c>
      <c r="H29" s="12" t="s">
        <v>114</v>
      </c>
      <c r="I29" s="12" t="s">
        <v>48</v>
      </c>
      <c r="J29" s="12" t="s">
        <v>41</v>
      </c>
      <c r="K29" s="12" t="s">
        <v>116</v>
      </c>
    </row>
    <row r="30" ht="15.75" customHeight="1">
      <c r="A30" s="11" t="s">
        <v>15</v>
      </c>
      <c r="B30" s="11" t="s">
        <v>84</v>
      </c>
      <c r="C30" s="12" t="s">
        <v>33</v>
      </c>
      <c r="D30" s="12" t="s">
        <v>117</v>
      </c>
      <c r="E30" s="12" t="s">
        <v>53</v>
      </c>
      <c r="F30" s="12" t="s">
        <v>37</v>
      </c>
      <c r="G30" s="12" t="s">
        <v>40</v>
      </c>
      <c r="H30" s="12" t="s">
        <v>118</v>
      </c>
      <c r="I30" s="12" t="s">
        <v>40</v>
      </c>
      <c r="J30" s="12" t="s">
        <v>41</v>
      </c>
      <c r="K30" s="12" t="s">
        <v>116</v>
      </c>
    </row>
    <row r="31" ht="15.75" customHeight="1">
      <c r="A31" s="11" t="s">
        <v>15</v>
      </c>
      <c r="B31" s="11" t="s">
        <v>84</v>
      </c>
      <c r="C31" s="12" t="s">
        <v>123</v>
      </c>
      <c r="D31" s="12" t="s">
        <v>125</v>
      </c>
      <c r="E31" s="12" t="s">
        <v>62</v>
      </c>
      <c r="F31" s="12" t="s">
        <v>63</v>
      </c>
      <c r="G31" s="12" t="s">
        <v>40</v>
      </c>
      <c r="H31" s="12" t="s">
        <v>128</v>
      </c>
      <c r="I31" s="12" t="s">
        <v>48</v>
      </c>
      <c r="J31" s="12" t="s">
        <v>129</v>
      </c>
      <c r="K31" s="12" t="s">
        <v>116</v>
      </c>
    </row>
    <row r="32" ht="15.75" customHeight="1">
      <c r="A32" s="11" t="s">
        <v>15</v>
      </c>
      <c r="B32" s="11" t="s">
        <v>84</v>
      </c>
      <c r="C32" s="12" t="s">
        <v>172</v>
      </c>
      <c r="D32" s="12" t="s">
        <v>173</v>
      </c>
      <c r="E32" s="12" t="s">
        <v>62</v>
      </c>
      <c r="F32" s="12" t="s">
        <v>63</v>
      </c>
      <c r="G32" s="12" t="s">
        <v>40</v>
      </c>
      <c r="H32" s="12" t="s">
        <v>64</v>
      </c>
      <c r="I32" s="12" t="s">
        <v>48</v>
      </c>
      <c r="J32" s="12" t="s">
        <v>174</v>
      </c>
      <c r="K32" s="12" t="s">
        <v>116</v>
      </c>
    </row>
    <row r="33" ht="15.75" customHeight="1">
      <c r="A33" s="11" t="s">
        <v>15</v>
      </c>
      <c r="B33" s="11" t="s">
        <v>84</v>
      </c>
      <c r="C33" s="12" t="s">
        <v>131</v>
      </c>
      <c r="D33" s="12" t="s">
        <v>132</v>
      </c>
      <c r="E33" s="12" t="s">
        <v>108</v>
      </c>
      <c r="F33" s="12" t="s">
        <v>58</v>
      </c>
      <c r="G33" s="12" t="s">
        <v>40</v>
      </c>
      <c r="H33" s="12" t="s">
        <v>133</v>
      </c>
      <c r="I33" s="12" t="s">
        <v>48</v>
      </c>
      <c r="J33" s="12" t="s">
        <v>134</v>
      </c>
      <c r="K33" s="12" t="s">
        <v>116</v>
      </c>
    </row>
    <row r="34" ht="15.75" customHeight="1">
      <c r="A34" s="11" t="s">
        <v>15</v>
      </c>
      <c r="B34" s="11" t="s">
        <v>84</v>
      </c>
      <c r="C34" s="12" t="s">
        <v>135</v>
      </c>
      <c r="D34" s="12" t="s">
        <v>136</v>
      </c>
      <c r="E34" s="12" t="s">
        <v>137</v>
      </c>
      <c r="F34" s="12" t="s">
        <v>37</v>
      </c>
      <c r="G34" s="12" t="s">
        <v>40</v>
      </c>
      <c r="H34" s="12" t="s">
        <v>138</v>
      </c>
      <c r="I34" s="12" t="s">
        <v>48</v>
      </c>
      <c r="J34" s="12" t="s">
        <v>139</v>
      </c>
      <c r="K34" s="12" t="s">
        <v>116</v>
      </c>
    </row>
    <row r="35" ht="15.75" customHeight="1">
      <c r="A35" s="11" t="s">
        <v>15</v>
      </c>
      <c r="B35" s="11" t="s">
        <v>84</v>
      </c>
      <c r="C35" s="12" t="s">
        <v>140</v>
      </c>
      <c r="D35" s="12" t="s">
        <v>141</v>
      </c>
      <c r="E35" s="12" t="s">
        <v>137</v>
      </c>
      <c r="F35" s="12" t="s">
        <v>37</v>
      </c>
      <c r="G35" s="12" t="s">
        <v>40</v>
      </c>
      <c r="H35" s="12" t="s">
        <v>68</v>
      </c>
      <c r="I35" s="12" t="s">
        <v>48</v>
      </c>
      <c r="J35" s="12" t="s">
        <v>143</v>
      </c>
      <c r="K35" s="12" t="s">
        <v>116</v>
      </c>
    </row>
    <row r="36" ht="15.75" customHeight="1">
      <c r="A36" s="11" t="s">
        <v>15</v>
      </c>
      <c r="B36" s="11" t="s">
        <v>84</v>
      </c>
      <c r="C36" s="12" t="s">
        <v>145</v>
      </c>
      <c r="D36" s="12" t="s">
        <v>146</v>
      </c>
      <c r="E36" s="12" t="s">
        <v>137</v>
      </c>
      <c r="F36" s="12" t="s">
        <v>37</v>
      </c>
      <c r="G36" s="12" t="s">
        <v>40</v>
      </c>
      <c r="H36" s="12" t="s">
        <v>138</v>
      </c>
      <c r="I36" s="12" t="s">
        <v>48</v>
      </c>
      <c r="J36" s="12" t="s">
        <v>148</v>
      </c>
      <c r="K36" s="12" t="s">
        <v>116</v>
      </c>
    </row>
    <row r="37" ht="15.75" customHeight="1">
      <c r="A37" s="11" t="s">
        <v>15</v>
      </c>
      <c r="B37" s="11" t="s">
        <v>84</v>
      </c>
      <c r="C37" s="12" t="s">
        <v>149</v>
      </c>
      <c r="D37" s="12" t="s">
        <v>150</v>
      </c>
      <c r="E37" s="12" t="s">
        <v>137</v>
      </c>
      <c r="F37" s="12" t="s">
        <v>37</v>
      </c>
      <c r="G37" s="12" t="s">
        <v>40</v>
      </c>
      <c r="H37" s="12" t="s">
        <v>138</v>
      </c>
      <c r="I37" s="12" t="s">
        <v>48</v>
      </c>
      <c r="J37" s="12" t="s">
        <v>153</v>
      </c>
      <c r="K37" s="12" t="s">
        <v>116</v>
      </c>
    </row>
    <row r="38" ht="15.75" customHeight="1">
      <c r="A38" s="11" t="s">
        <v>15</v>
      </c>
      <c r="B38" s="11" t="s">
        <v>84</v>
      </c>
      <c r="C38" s="12" t="s">
        <v>154</v>
      </c>
      <c r="D38" s="12" t="s">
        <v>155</v>
      </c>
      <c r="E38" s="12" t="s">
        <v>156</v>
      </c>
      <c r="F38" s="12" t="s">
        <v>37</v>
      </c>
      <c r="G38" s="12" t="s">
        <v>40</v>
      </c>
      <c r="H38" s="12" t="s">
        <v>68</v>
      </c>
      <c r="I38" s="12" t="s">
        <v>40</v>
      </c>
      <c r="J38" s="12" t="s">
        <v>157</v>
      </c>
      <c r="K38" s="12" t="s">
        <v>116</v>
      </c>
    </row>
    <row r="39" ht="15.75" customHeight="1">
      <c r="A39" s="11" t="s">
        <v>15</v>
      </c>
      <c r="B39" s="11" t="s">
        <v>97</v>
      </c>
      <c r="C39" s="12" t="s">
        <v>33</v>
      </c>
      <c r="D39" s="12" t="s">
        <v>35</v>
      </c>
      <c r="E39" s="12" t="s">
        <v>36</v>
      </c>
      <c r="F39" s="12" t="s">
        <v>37</v>
      </c>
      <c r="G39" s="15" t="s">
        <v>38</v>
      </c>
      <c r="H39" s="12" t="s">
        <v>39</v>
      </c>
      <c r="I39" s="12" t="s">
        <v>40</v>
      </c>
      <c r="J39" s="12" t="s">
        <v>41</v>
      </c>
      <c r="K39" s="12" t="s">
        <v>183</v>
      </c>
    </row>
    <row r="40" ht="15.75" customHeight="1">
      <c r="A40" s="11" t="s">
        <v>15</v>
      </c>
      <c r="B40" s="11" t="s">
        <v>97</v>
      </c>
      <c r="C40" s="12" t="s">
        <v>33</v>
      </c>
      <c r="D40" s="12" t="s">
        <v>44</v>
      </c>
      <c r="E40" s="12" t="s">
        <v>45</v>
      </c>
      <c r="F40" s="12" t="s">
        <v>37</v>
      </c>
      <c r="G40" s="15" t="s">
        <v>38</v>
      </c>
      <c r="H40" s="12" t="s">
        <v>47</v>
      </c>
      <c r="I40" s="12" t="s">
        <v>48</v>
      </c>
      <c r="J40" s="12" t="s">
        <v>41</v>
      </c>
      <c r="K40" s="12" t="s">
        <v>183</v>
      </c>
    </row>
    <row r="41" ht="15.75" customHeight="1">
      <c r="A41" s="11" t="s">
        <v>15</v>
      </c>
      <c r="B41" s="11" t="s">
        <v>97</v>
      </c>
      <c r="C41" s="12" t="s">
        <v>33</v>
      </c>
      <c r="D41" s="12" t="s">
        <v>52</v>
      </c>
      <c r="E41" s="12" t="s">
        <v>53</v>
      </c>
      <c r="F41" s="12" t="s">
        <v>37</v>
      </c>
      <c r="G41" s="15" t="s">
        <v>38</v>
      </c>
      <c r="H41" s="12" t="s">
        <v>54</v>
      </c>
      <c r="I41" s="12" t="s">
        <v>48</v>
      </c>
      <c r="J41" s="12" t="s">
        <v>41</v>
      </c>
      <c r="K41" s="12" t="s">
        <v>183</v>
      </c>
    </row>
    <row r="42" ht="15.75" customHeight="1">
      <c r="A42" s="11" t="s">
        <v>15</v>
      </c>
      <c r="B42" s="11" t="s">
        <v>97</v>
      </c>
      <c r="C42" s="12" t="s">
        <v>55</v>
      </c>
      <c r="D42" s="12" t="s">
        <v>56</v>
      </c>
      <c r="E42" s="12" t="s">
        <v>57</v>
      </c>
      <c r="F42" s="12" t="s">
        <v>58</v>
      </c>
      <c r="G42" s="15" t="s">
        <v>38</v>
      </c>
      <c r="H42" s="12" t="s">
        <v>47</v>
      </c>
      <c r="I42" s="12" t="s">
        <v>48</v>
      </c>
      <c r="J42" s="12" t="s">
        <v>59</v>
      </c>
      <c r="K42" s="12" t="s">
        <v>183</v>
      </c>
    </row>
    <row r="43" ht="15.75" customHeight="1">
      <c r="A43" s="11" t="s">
        <v>15</v>
      </c>
      <c r="B43" s="11" t="s">
        <v>97</v>
      </c>
      <c r="C43" s="12" t="s">
        <v>188</v>
      </c>
      <c r="D43" s="12" t="s">
        <v>189</v>
      </c>
      <c r="E43" s="12" t="s">
        <v>62</v>
      </c>
      <c r="F43" s="12" t="s">
        <v>63</v>
      </c>
      <c r="G43" s="15" t="s">
        <v>38</v>
      </c>
      <c r="H43" s="12" t="s">
        <v>190</v>
      </c>
      <c r="I43" s="12" t="s">
        <v>48</v>
      </c>
      <c r="J43" s="12" t="s">
        <v>191</v>
      </c>
      <c r="K43" s="12" t="s">
        <v>183</v>
      </c>
    </row>
    <row r="44" ht="15.75" customHeight="1">
      <c r="A44" s="11" t="s">
        <v>15</v>
      </c>
      <c r="B44" s="11" t="s">
        <v>97</v>
      </c>
      <c r="C44" s="12" t="s">
        <v>192</v>
      </c>
      <c r="D44" s="12" t="s">
        <v>193</v>
      </c>
      <c r="E44" s="12" t="s">
        <v>62</v>
      </c>
      <c r="F44" s="12" t="s">
        <v>63</v>
      </c>
      <c r="G44" s="15" t="s">
        <v>38</v>
      </c>
      <c r="H44" s="12" t="s">
        <v>190</v>
      </c>
      <c r="I44" s="12" t="s">
        <v>48</v>
      </c>
      <c r="J44" s="12" t="s">
        <v>194</v>
      </c>
      <c r="K44" s="12" t="s">
        <v>183</v>
      </c>
    </row>
    <row r="45" ht="15.75" customHeight="1">
      <c r="A45" s="11" t="s">
        <v>15</v>
      </c>
      <c r="B45" s="11" t="s">
        <v>97</v>
      </c>
      <c r="C45" s="12" t="s">
        <v>70</v>
      </c>
      <c r="D45" s="12" t="s">
        <v>71</v>
      </c>
      <c r="E45" s="12" t="s">
        <v>57</v>
      </c>
      <c r="F45" s="12" t="s">
        <v>58</v>
      </c>
      <c r="G45" s="15" t="s">
        <v>38</v>
      </c>
      <c r="H45" s="12" t="s">
        <v>72</v>
      </c>
      <c r="I45" s="12" t="s">
        <v>48</v>
      </c>
      <c r="J45" s="12" t="s">
        <v>74</v>
      </c>
      <c r="K45" s="12" t="s">
        <v>183</v>
      </c>
    </row>
    <row r="46" ht="15.75" customHeight="1">
      <c r="A46" s="11" t="s">
        <v>15</v>
      </c>
      <c r="B46" s="11" t="s">
        <v>97</v>
      </c>
      <c r="C46" s="12" t="s">
        <v>33</v>
      </c>
      <c r="D46" s="12" t="s">
        <v>165</v>
      </c>
      <c r="E46" s="12" t="s">
        <v>45</v>
      </c>
      <c r="F46" s="12" t="s">
        <v>37</v>
      </c>
      <c r="G46" s="12" t="s">
        <v>40</v>
      </c>
      <c r="H46" s="12" t="s">
        <v>64</v>
      </c>
      <c r="I46" s="12" t="s">
        <v>48</v>
      </c>
      <c r="J46" s="12" t="s">
        <v>41</v>
      </c>
      <c r="K46" s="12" t="s">
        <v>116</v>
      </c>
    </row>
    <row r="47" ht="15.75" customHeight="1">
      <c r="A47" s="11" t="s">
        <v>15</v>
      </c>
      <c r="B47" s="11" t="s">
        <v>97</v>
      </c>
      <c r="C47" s="12" t="s">
        <v>33</v>
      </c>
      <c r="D47" s="12" t="s">
        <v>117</v>
      </c>
      <c r="E47" s="12" t="s">
        <v>53</v>
      </c>
      <c r="F47" s="12" t="s">
        <v>37</v>
      </c>
      <c r="G47" s="12" t="s">
        <v>40</v>
      </c>
      <c r="H47" s="12" t="s">
        <v>118</v>
      </c>
      <c r="I47" s="12" t="s">
        <v>40</v>
      </c>
      <c r="J47" s="12" t="s">
        <v>41</v>
      </c>
      <c r="K47" s="12" t="s">
        <v>116</v>
      </c>
    </row>
    <row r="48" ht="15.75" customHeight="1">
      <c r="A48" s="11" t="s">
        <v>15</v>
      </c>
      <c r="B48" s="11" t="s">
        <v>97</v>
      </c>
      <c r="C48" s="12" t="s">
        <v>33</v>
      </c>
      <c r="D48" s="12" t="s">
        <v>196</v>
      </c>
      <c r="E48" s="12" t="s">
        <v>197</v>
      </c>
      <c r="F48" s="12" t="s">
        <v>37</v>
      </c>
      <c r="G48" s="12" t="s">
        <v>40</v>
      </c>
      <c r="H48" s="12" t="s">
        <v>128</v>
      </c>
      <c r="I48" s="12" t="s">
        <v>48</v>
      </c>
      <c r="J48" s="12" t="s">
        <v>41</v>
      </c>
      <c r="K48" s="12" t="s">
        <v>116</v>
      </c>
    </row>
    <row r="49" ht="15.75" customHeight="1">
      <c r="A49" s="11" t="s">
        <v>15</v>
      </c>
      <c r="B49" s="11" t="s">
        <v>97</v>
      </c>
      <c r="C49" s="12" t="s">
        <v>131</v>
      </c>
      <c r="D49" s="12" t="s">
        <v>132</v>
      </c>
      <c r="E49" s="12" t="s">
        <v>108</v>
      </c>
      <c r="F49" s="12" t="s">
        <v>58</v>
      </c>
      <c r="G49" s="12" t="s">
        <v>40</v>
      </c>
      <c r="H49" s="12" t="s">
        <v>133</v>
      </c>
      <c r="I49" s="12" t="s">
        <v>48</v>
      </c>
      <c r="J49" s="12" t="s">
        <v>134</v>
      </c>
      <c r="K49" s="12" t="s">
        <v>116</v>
      </c>
    </row>
    <row r="50" ht="15.75" customHeight="1">
      <c r="A50" s="11" t="s">
        <v>15</v>
      </c>
      <c r="B50" s="11" t="s">
        <v>97</v>
      </c>
      <c r="C50" s="12" t="s">
        <v>135</v>
      </c>
      <c r="D50" s="12" t="s">
        <v>136</v>
      </c>
      <c r="E50" s="12" t="s">
        <v>137</v>
      </c>
      <c r="F50" s="12" t="s">
        <v>37</v>
      </c>
      <c r="G50" s="12" t="s">
        <v>40</v>
      </c>
      <c r="H50" s="12" t="s">
        <v>138</v>
      </c>
      <c r="I50" s="12" t="s">
        <v>48</v>
      </c>
      <c r="J50" s="12" t="s">
        <v>139</v>
      </c>
      <c r="K50" s="12" t="s">
        <v>116</v>
      </c>
    </row>
    <row r="51" ht="15.75" customHeight="1">
      <c r="A51" s="11" t="s">
        <v>15</v>
      </c>
      <c r="B51" s="11" t="s">
        <v>97</v>
      </c>
      <c r="C51" s="12" t="s">
        <v>140</v>
      </c>
      <c r="D51" s="12" t="s">
        <v>141</v>
      </c>
      <c r="E51" s="12" t="s">
        <v>137</v>
      </c>
      <c r="F51" s="12" t="s">
        <v>37</v>
      </c>
      <c r="G51" s="12" t="s">
        <v>40</v>
      </c>
      <c r="H51" s="12" t="s">
        <v>68</v>
      </c>
      <c r="I51" s="12" t="s">
        <v>48</v>
      </c>
      <c r="J51" s="12" t="s">
        <v>143</v>
      </c>
      <c r="K51" s="12" t="s">
        <v>116</v>
      </c>
    </row>
    <row r="52" ht="15.75" customHeight="1">
      <c r="A52" s="11" t="s">
        <v>15</v>
      </c>
      <c r="B52" s="11" t="s">
        <v>97</v>
      </c>
      <c r="C52" s="12" t="s">
        <v>145</v>
      </c>
      <c r="D52" s="12" t="s">
        <v>146</v>
      </c>
      <c r="E52" s="12" t="s">
        <v>137</v>
      </c>
      <c r="F52" s="12" t="s">
        <v>37</v>
      </c>
      <c r="G52" s="12" t="s">
        <v>40</v>
      </c>
      <c r="H52" s="12" t="s">
        <v>138</v>
      </c>
      <c r="I52" s="12" t="s">
        <v>48</v>
      </c>
      <c r="J52" s="12" t="s">
        <v>148</v>
      </c>
      <c r="K52" s="12" t="s">
        <v>116</v>
      </c>
    </row>
    <row r="53" ht="15.75" customHeight="1">
      <c r="A53" s="11" t="s">
        <v>15</v>
      </c>
      <c r="B53" s="11" t="s">
        <v>97</v>
      </c>
      <c r="C53" s="12" t="s">
        <v>203</v>
      </c>
      <c r="D53" s="12" t="s">
        <v>204</v>
      </c>
      <c r="E53" s="12" t="s">
        <v>205</v>
      </c>
      <c r="F53" s="12" t="s">
        <v>58</v>
      </c>
      <c r="G53" s="12" t="s">
        <v>40</v>
      </c>
      <c r="H53" s="12" t="s">
        <v>206</v>
      </c>
      <c r="I53" s="12" t="s">
        <v>48</v>
      </c>
      <c r="J53" s="12" t="s">
        <v>207</v>
      </c>
      <c r="K53" s="12" t="s">
        <v>116</v>
      </c>
    </row>
    <row r="54" ht="15.75" customHeight="1">
      <c r="A54" s="11" t="s">
        <v>15</v>
      </c>
      <c r="B54" s="11" t="s">
        <v>97</v>
      </c>
      <c r="C54" s="12" t="s">
        <v>149</v>
      </c>
      <c r="D54" s="12" t="s">
        <v>150</v>
      </c>
      <c r="E54" s="12" t="s">
        <v>137</v>
      </c>
      <c r="F54" s="12" t="s">
        <v>37</v>
      </c>
      <c r="G54" s="12" t="s">
        <v>40</v>
      </c>
      <c r="H54" s="12" t="s">
        <v>138</v>
      </c>
      <c r="I54" s="12" t="s">
        <v>48</v>
      </c>
      <c r="J54" s="12" t="s">
        <v>153</v>
      </c>
      <c r="K54" s="12" t="s">
        <v>116</v>
      </c>
    </row>
    <row r="55" ht="15.75" customHeight="1">
      <c r="A55" s="11" t="s">
        <v>15</v>
      </c>
      <c r="B55" s="11" t="s">
        <v>97</v>
      </c>
      <c r="C55" s="12" t="s">
        <v>154</v>
      </c>
      <c r="D55" s="12" t="s">
        <v>155</v>
      </c>
      <c r="E55" s="12" t="s">
        <v>156</v>
      </c>
      <c r="F55" s="12" t="s">
        <v>37</v>
      </c>
      <c r="G55" s="12" t="s">
        <v>40</v>
      </c>
      <c r="H55" s="12" t="s">
        <v>68</v>
      </c>
      <c r="I55" s="12" t="s">
        <v>40</v>
      </c>
      <c r="J55" s="12" t="s">
        <v>157</v>
      </c>
      <c r="K55" s="12" t="s">
        <v>116</v>
      </c>
    </row>
    <row r="56" ht="15.75" customHeight="1">
      <c r="A56" s="55" t="s">
        <v>130</v>
      </c>
      <c r="B56" s="55" t="s">
        <v>144</v>
      </c>
      <c r="C56" s="12" t="s">
        <v>33</v>
      </c>
      <c r="D56" s="12" t="s">
        <v>35</v>
      </c>
      <c r="E56" s="12" t="s">
        <v>36</v>
      </c>
      <c r="F56" s="12" t="s">
        <v>37</v>
      </c>
      <c r="G56" s="15" t="s">
        <v>38</v>
      </c>
      <c r="H56" s="12" t="s">
        <v>39</v>
      </c>
      <c r="I56" s="12" t="s">
        <v>40</v>
      </c>
      <c r="J56" s="12" t="s">
        <v>41</v>
      </c>
      <c r="K56" s="12" t="s">
        <v>208</v>
      </c>
    </row>
    <row r="57" ht="15.75" customHeight="1">
      <c r="A57" s="55" t="s">
        <v>130</v>
      </c>
      <c r="B57" s="55" t="s">
        <v>144</v>
      </c>
      <c r="C57" s="12" t="s">
        <v>33</v>
      </c>
      <c r="D57" s="12" t="s">
        <v>44</v>
      </c>
      <c r="E57" s="12" t="s">
        <v>45</v>
      </c>
      <c r="F57" s="12" t="s">
        <v>37</v>
      </c>
      <c r="G57" s="15" t="s">
        <v>38</v>
      </c>
      <c r="H57" s="12" t="s">
        <v>47</v>
      </c>
      <c r="I57" s="12" t="s">
        <v>48</v>
      </c>
      <c r="J57" s="12" t="s">
        <v>41</v>
      </c>
      <c r="K57" s="12" t="s">
        <v>208</v>
      </c>
    </row>
    <row r="58" ht="15.75" customHeight="1">
      <c r="A58" s="55" t="s">
        <v>130</v>
      </c>
      <c r="B58" s="55" t="s">
        <v>144</v>
      </c>
      <c r="C58" s="12" t="s">
        <v>33</v>
      </c>
      <c r="D58" s="12" t="s">
        <v>52</v>
      </c>
      <c r="E58" s="12" t="s">
        <v>53</v>
      </c>
      <c r="F58" s="12" t="s">
        <v>37</v>
      </c>
      <c r="G58" s="15" t="s">
        <v>38</v>
      </c>
      <c r="H58" s="12" t="s">
        <v>54</v>
      </c>
      <c r="I58" s="12" t="s">
        <v>48</v>
      </c>
      <c r="J58" s="12" t="s">
        <v>41</v>
      </c>
      <c r="K58" s="12" t="s">
        <v>208</v>
      </c>
    </row>
    <row r="59" ht="15.75" customHeight="1">
      <c r="A59" s="55" t="s">
        <v>130</v>
      </c>
      <c r="B59" s="55" t="s">
        <v>144</v>
      </c>
      <c r="C59" s="12" t="s">
        <v>55</v>
      </c>
      <c r="D59" s="12" t="s">
        <v>56</v>
      </c>
      <c r="E59" s="12" t="s">
        <v>57</v>
      </c>
      <c r="F59" s="12" t="s">
        <v>58</v>
      </c>
      <c r="G59" s="15" t="s">
        <v>38</v>
      </c>
      <c r="H59" s="12" t="s">
        <v>47</v>
      </c>
      <c r="I59" s="12" t="s">
        <v>48</v>
      </c>
      <c r="J59" s="12" t="s">
        <v>59</v>
      </c>
      <c r="K59" s="12" t="s">
        <v>208</v>
      </c>
    </row>
    <row r="60" ht="15.75" customHeight="1">
      <c r="A60" s="55" t="s">
        <v>130</v>
      </c>
      <c r="B60" s="55" t="s">
        <v>144</v>
      </c>
      <c r="C60" s="12" t="s">
        <v>209</v>
      </c>
      <c r="D60" s="12" t="s">
        <v>210</v>
      </c>
      <c r="E60" s="12" t="s">
        <v>57</v>
      </c>
      <c r="F60" s="12" t="s">
        <v>58</v>
      </c>
      <c r="G60" s="15" t="s">
        <v>38</v>
      </c>
      <c r="H60" s="12" t="s">
        <v>211</v>
      </c>
      <c r="I60" s="12" t="s">
        <v>48</v>
      </c>
      <c r="J60" s="12" t="s">
        <v>212</v>
      </c>
      <c r="K60" s="12" t="s">
        <v>208</v>
      </c>
    </row>
    <row r="61" ht="15.75" customHeight="1">
      <c r="A61" s="55" t="s">
        <v>130</v>
      </c>
      <c r="B61" s="55" t="s">
        <v>144</v>
      </c>
      <c r="C61" s="12" t="s">
        <v>33</v>
      </c>
      <c r="D61" s="12" t="s">
        <v>213</v>
      </c>
      <c r="E61" s="12" t="s">
        <v>45</v>
      </c>
      <c r="F61" s="12" t="s">
        <v>37</v>
      </c>
      <c r="G61" s="12" t="s">
        <v>40</v>
      </c>
      <c r="H61" s="12" t="s">
        <v>214</v>
      </c>
      <c r="I61" s="12" t="s">
        <v>48</v>
      </c>
      <c r="J61" s="12"/>
      <c r="K61" s="12" t="s">
        <v>215</v>
      </c>
    </row>
    <row r="62" ht="15.75" customHeight="1">
      <c r="A62" s="55" t="s">
        <v>130</v>
      </c>
      <c r="B62" s="55" t="s">
        <v>144</v>
      </c>
      <c r="C62" s="12" t="s">
        <v>33</v>
      </c>
      <c r="D62" s="12" t="s">
        <v>216</v>
      </c>
      <c r="E62" s="12" t="s">
        <v>45</v>
      </c>
      <c r="F62" s="12" t="s">
        <v>37</v>
      </c>
      <c r="G62" s="12" t="s">
        <v>40</v>
      </c>
      <c r="H62" s="12" t="s">
        <v>214</v>
      </c>
      <c r="I62" s="12" t="s">
        <v>48</v>
      </c>
      <c r="J62" s="12" t="s">
        <v>41</v>
      </c>
      <c r="K62" s="12" t="s">
        <v>215</v>
      </c>
    </row>
    <row r="63" ht="15.75" customHeight="1">
      <c r="A63" s="55" t="s">
        <v>130</v>
      </c>
      <c r="B63" s="55" t="s">
        <v>144</v>
      </c>
      <c r="C63" s="12" t="s">
        <v>33</v>
      </c>
      <c r="D63" s="12" t="s">
        <v>218</v>
      </c>
      <c r="E63" s="12" t="s">
        <v>219</v>
      </c>
      <c r="F63" s="12" t="s">
        <v>37</v>
      </c>
      <c r="G63" s="12" t="s">
        <v>40</v>
      </c>
      <c r="H63" s="12" t="s">
        <v>229</v>
      </c>
      <c r="I63" s="12" t="s">
        <v>38</v>
      </c>
      <c r="J63" s="12" t="s">
        <v>41</v>
      </c>
      <c r="K63" s="12" t="s">
        <v>215</v>
      </c>
    </row>
    <row r="64" ht="15.75" customHeight="1">
      <c r="A64" s="55" t="s">
        <v>130</v>
      </c>
      <c r="B64" s="55" t="s">
        <v>144</v>
      </c>
      <c r="C64" s="12" t="s">
        <v>33</v>
      </c>
      <c r="D64" s="12" t="s">
        <v>230</v>
      </c>
      <c r="E64" s="12" t="s">
        <v>53</v>
      </c>
      <c r="F64" s="12" t="s">
        <v>37</v>
      </c>
      <c r="G64" s="12" t="s">
        <v>40</v>
      </c>
      <c r="H64" s="12" t="s">
        <v>231</v>
      </c>
      <c r="I64" s="12" t="s">
        <v>48</v>
      </c>
      <c r="J64" s="12" t="s">
        <v>41</v>
      </c>
      <c r="K64" s="12" t="s">
        <v>215</v>
      </c>
    </row>
    <row r="65" ht="15.75" customHeight="1">
      <c r="A65" s="55" t="s">
        <v>130</v>
      </c>
      <c r="B65" s="55" t="s">
        <v>144</v>
      </c>
      <c r="C65" s="12" t="s">
        <v>233</v>
      </c>
      <c r="D65" s="12" t="s">
        <v>234</v>
      </c>
      <c r="E65" s="12" t="s">
        <v>156</v>
      </c>
      <c r="F65" s="12" t="s">
        <v>37</v>
      </c>
      <c r="G65" s="12" t="s">
        <v>40</v>
      </c>
      <c r="H65" s="12" t="s">
        <v>214</v>
      </c>
      <c r="I65" s="12" t="s">
        <v>40</v>
      </c>
      <c r="J65" s="12" t="s">
        <v>235</v>
      </c>
      <c r="K65" s="12" t="s">
        <v>215</v>
      </c>
    </row>
    <row r="66" ht="15.75" customHeight="1">
      <c r="A66" s="55" t="s">
        <v>130</v>
      </c>
      <c r="B66" s="55" t="s">
        <v>144</v>
      </c>
      <c r="C66" s="12" t="s">
        <v>203</v>
      </c>
      <c r="D66" s="12" t="s">
        <v>204</v>
      </c>
      <c r="E66" s="12" t="s">
        <v>205</v>
      </c>
      <c r="F66" s="12" t="s">
        <v>58</v>
      </c>
      <c r="G66" s="12" t="s">
        <v>40</v>
      </c>
      <c r="H66" s="12" t="s">
        <v>206</v>
      </c>
      <c r="I66" s="12" t="s">
        <v>48</v>
      </c>
      <c r="J66" s="12" t="s">
        <v>207</v>
      </c>
      <c r="K66" s="12" t="s">
        <v>215</v>
      </c>
    </row>
    <row r="67" ht="15.75" customHeight="1">
      <c r="A67" s="55" t="s">
        <v>130</v>
      </c>
      <c r="B67" s="55" t="s">
        <v>144</v>
      </c>
      <c r="C67" s="12" t="s">
        <v>154</v>
      </c>
      <c r="D67" s="12" t="s">
        <v>155</v>
      </c>
      <c r="E67" s="12" t="s">
        <v>156</v>
      </c>
      <c r="F67" s="12" t="s">
        <v>37</v>
      </c>
      <c r="G67" s="12" t="s">
        <v>40</v>
      </c>
      <c r="H67" s="12" t="s">
        <v>68</v>
      </c>
      <c r="I67" s="12" t="s">
        <v>40</v>
      </c>
      <c r="J67" s="12" t="s">
        <v>157</v>
      </c>
      <c r="K67" s="12" t="s">
        <v>215</v>
      </c>
    </row>
    <row r="68" ht="15.75" customHeight="1">
      <c r="A68" s="55" t="s">
        <v>130</v>
      </c>
      <c r="B68" s="55" t="s">
        <v>178</v>
      </c>
      <c r="C68" s="12" t="s">
        <v>33</v>
      </c>
      <c r="D68" s="12" t="s">
        <v>35</v>
      </c>
      <c r="E68" s="12" t="s">
        <v>36</v>
      </c>
      <c r="F68" s="12" t="s">
        <v>37</v>
      </c>
      <c r="G68" s="15" t="s">
        <v>38</v>
      </c>
      <c r="H68" s="12" t="s">
        <v>39</v>
      </c>
      <c r="I68" s="12" t="s">
        <v>40</v>
      </c>
      <c r="J68" s="12" t="s">
        <v>41</v>
      </c>
      <c r="K68" s="12" t="s">
        <v>208</v>
      </c>
    </row>
    <row r="69" ht="15.75" customHeight="1">
      <c r="A69" s="55" t="s">
        <v>130</v>
      </c>
      <c r="B69" s="55" t="s">
        <v>178</v>
      </c>
      <c r="C69" s="12" t="s">
        <v>33</v>
      </c>
      <c r="D69" s="12" t="s">
        <v>44</v>
      </c>
      <c r="E69" s="12" t="s">
        <v>45</v>
      </c>
      <c r="F69" s="12" t="s">
        <v>37</v>
      </c>
      <c r="G69" s="15" t="s">
        <v>38</v>
      </c>
      <c r="H69" s="12" t="s">
        <v>47</v>
      </c>
      <c r="I69" s="12" t="s">
        <v>48</v>
      </c>
      <c r="J69" s="12" t="s">
        <v>41</v>
      </c>
      <c r="K69" s="12" t="s">
        <v>208</v>
      </c>
    </row>
    <row r="70" ht="15.75" customHeight="1">
      <c r="A70" s="55" t="s">
        <v>130</v>
      </c>
      <c r="B70" s="55" t="s">
        <v>178</v>
      </c>
      <c r="C70" s="12" t="s">
        <v>33</v>
      </c>
      <c r="D70" s="12" t="s">
        <v>52</v>
      </c>
      <c r="E70" s="12" t="s">
        <v>53</v>
      </c>
      <c r="F70" s="12" t="s">
        <v>37</v>
      </c>
      <c r="G70" s="15" t="s">
        <v>38</v>
      </c>
      <c r="H70" s="12" t="s">
        <v>54</v>
      </c>
      <c r="I70" s="12" t="s">
        <v>48</v>
      </c>
      <c r="J70" s="12" t="s">
        <v>41</v>
      </c>
      <c r="K70" s="12" t="s">
        <v>208</v>
      </c>
    </row>
    <row r="71" ht="15.75" customHeight="1">
      <c r="A71" s="55" t="s">
        <v>130</v>
      </c>
      <c r="B71" s="55" t="s">
        <v>178</v>
      </c>
      <c r="C71" s="12" t="s">
        <v>55</v>
      </c>
      <c r="D71" s="12" t="s">
        <v>56</v>
      </c>
      <c r="E71" s="12" t="s">
        <v>57</v>
      </c>
      <c r="F71" s="12" t="s">
        <v>58</v>
      </c>
      <c r="G71" s="15" t="s">
        <v>38</v>
      </c>
      <c r="H71" s="12" t="s">
        <v>47</v>
      </c>
      <c r="I71" s="12" t="s">
        <v>48</v>
      </c>
      <c r="J71" s="12" t="s">
        <v>59</v>
      </c>
      <c r="K71" s="12" t="s">
        <v>208</v>
      </c>
    </row>
    <row r="72" ht="15.75" customHeight="1">
      <c r="A72" s="55" t="s">
        <v>130</v>
      </c>
      <c r="B72" s="55" t="s">
        <v>178</v>
      </c>
      <c r="C72" s="12" t="s">
        <v>209</v>
      </c>
      <c r="D72" s="12" t="s">
        <v>210</v>
      </c>
      <c r="E72" s="12" t="s">
        <v>57</v>
      </c>
      <c r="F72" s="12" t="s">
        <v>58</v>
      </c>
      <c r="G72" s="15" t="s">
        <v>38</v>
      </c>
      <c r="H72" s="12" t="s">
        <v>211</v>
      </c>
      <c r="I72" s="12" t="s">
        <v>48</v>
      </c>
      <c r="J72" s="12" t="s">
        <v>212</v>
      </c>
      <c r="K72" s="12" t="s">
        <v>208</v>
      </c>
    </row>
    <row r="73" ht="15.75" customHeight="1">
      <c r="A73" s="55" t="s">
        <v>130</v>
      </c>
      <c r="B73" s="55" t="s">
        <v>178</v>
      </c>
      <c r="C73" s="12" t="s">
        <v>33</v>
      </c>
      <c r="D73" s="12" t="s">
        <v>213</v>
      </c>
      <c r="E73" s="12" t="s">
        <v>45</v>
      </c>
      <c r="F73" s="12" t="s">
        <v>37</v>
      </c>
      <c r="G73" s="12" t="s">
        <v>40</v>
      </c>
      <c r="H73" s="12" t="s">
        <v>214</v>
      </c>
      <c r="I73" s="12" t="s">
        <v>48</v>
      </c>
      <c r="J73" s="12"/>
      <c r="K73" s="12" t="s">
        <v>215</v>
      </c>
    </row>
    <row r="74" ht="15.75" customHeight="1">
      <c r="A74" s="55" t="s">
        <v>130</v>
      </c>
      <c r="B74" s="55" t="s">
        <v>178</v>
      </c>
      <c r="C74" s="12" t="s">
        <v>33</v>
      </c>
      <c r="D74" s="12" t="s">
        <v>216</v>
      </c>
      <c r="E74" s="12" t="s">
        <v>45</v>
      </c>
      <c r="F74" s="12" t="s">
        <v>37</v>
      </c>
      <c r="G74" s="12" t="s">
        <v>40</v>
      </c>
      <c r="H74" s="12" t="s">
        <v>214</v>
      </c>
      <c r="I74" s="12" t="s">
        <v>48</v>
      </c>
      <c r="J74" s="12" t="s">
        <v>41</v>
      </c>
      <c r="K74" s="12" t="s">
        <v>215</v>
      </c>
    </row>
    <row r="75" ht="15.75" customHeight="1">
      <c r="A75" s="55" t="s">
        <v>130</v>
      </c>
      <c r="B75" s="55" t="s">
        <v>178</v>
      </c>
      <c r="C75" s="12" t="s">
        <v>33</v>
      </c>
      <c r="D75" s="12" t="s">
        <v>218</v>
      </c>
      <c r="E75" s="12" t="s">
        <v>219</v>
      </c>
      <c r="F75" s="12" t="s">
        <v>37</v>
      </c>
      <c r="G75" s="12" t="s">
        <v>40</v>
      </c>
      <c r="H75" s="12" t="s">
        <v>229</v>
      </c>
      <c r="I75" s="12" t="s">
        <v>38</v>
      </c>
      <c r="J75" s="12" t="s">
        <v>41</v>
      </c>
      <c r="K75" s="12" t="s">
        <v>215</v>
      </c>
    </row>
    <row r="76" ht="15.75" customHeight="1">
      <c r="A76" s="55" t="s">
        <v>130</v>
      </c>
      <c r="B76" s="55" t="s">
        <v>178</v>
      </c>
      <c r="C76" s="12" t="s">
        <v>33</v>
      </c>
      <c r="D76" s="12" t="s">
        <v>230</v>
      </c>
      <c r="E76" s="12" t="s">
        <v>53</v>
      </c>
      <c r="F76" s="12" t="s">
        <v>37</v>
      </c>
      <c r="G76" s="12" t="s">
        <v>40</v>
      </c>
      <c r="H76" s="12" t="s">
        <v>231</v>
      </c>
      <c r="I76" s="12" t="s">
        <v>48</v>
      </c>
      <c r="J76" s="12" t="s">
        <v>41</v>
      </c>
      <c r="K76" s="12" t="s">
        <v>215</v>
      </c>
    </row>
    <row r="77" ht="15.75" customHeight="1">
      <c r="A77" s="55" t="s">
        <v>130</v>
      </c>
      <c r="B77" s="55" t="s">
        <v>178</v>
      </c>
      <c r="C77" s="12" t="s">
        <v>233</v>
      </c>
      <c r="D77" s="12" t="s">
        <v>234</v>
      </c>
      <c r="E77" s="12" t="s">
        <v>156</v>
      </c>
      <c r="F77" s="12" t="s">
        <v>37</v>
      </c>
      <c r="G77" s="12" t="s">
        <v>40</v>
      </c>
      <c r="H77" s="12" t="s">
        <v>214</v>
      </c>
      <c r="I77" s="12" t="s">
        <v>40</v>
      </c>
      <c r="J77" s="12" t="s">
        <v>235</v>
      </c>
      <c r="K77" s="12" t="s">
        <v>215</v>
      </c>
    </row>
    <row r="78" ht="15.75" customHeight="1">
      <c r="A78" s="55" t="s">
        <v>130</v>
      </c>
      <c r="B78" s="55" t="s">
        <v>178</v>
      </c>
      <c r="C78" s="12" t="s">
        <v>203</v>
      </c>
      <c r="D78" s="12" t="s">
        <v>204</v>
      </c>
      <c r="E78" s="12" t="s">
        <v>205</v>
      </c>
      <c r="F78" s="12" t="s">
        <v>58</v>
      </c>
      <c r="G78" s="12" t="s">
        <v>40</v>
      </c>
      <c r="H78" s="12" t="s">
        <v>206</v>
      </c>
      <c r="I78" s="12" t="s">
        <v>48</v>
      </c>
      <c r="J78" s="12" t="s">
        <v>207</v>
      </c>
      <c r="K78" s="12" t="s">
        <v>215</v>
      </c>
    </row>
    <row r="79" ht="15.75" customHeight="1">
      <c r="A79" s="55" t="s">
        <v>130</v>
      </c>
      <c r="B79" s="55" t="s">
        <v>178</v>
      </c>
      <c r="C79" s="12" t="s">
        <v>154</v>
      </c>
      <c r="D79" s="12" t="s">
        <v>155</v>
      </c>
      <c r="E79" s="12" t="s">
        <v>156</v>
      </c>
      <c r="F79" s="12" t="s">
        <v>37</v>
      </c>
      <c r="G79" s="12" t="s">
        <v>40</v>
      </c>
      <c r="H79" s="12" t="s">
        <v>68</v>
      </c>
      <c r="I79" s="12" t="s">
        <v>40</v>
      </c>
      <c r="J79" s="12" t="s">
        <v>157</v>
      </c>
      <c r="K79" s="12" t="s">
        <v>215</v>
      </c>
    </row>
    <row r="80" ht="15.75" customHeight="1">
      <c r="A80" s="55" t="s">
        <v>130</v>
      </c>
      <c r="B80" s="55" t="s">
        <v>224</v>
      </c>
      <c r="C80" s="12" t="s">
        <v>33</v>
      </c>
      <c r="D80" s="12" t="s">
        <v>35</v>
      </c>
      <c r="E80" s="12" t="s">
        <v>36</v>
      </c>
      <c r="F80" s="12" t="s">
        <v>37</v>
      </c>
      <c r="G80" s="15" t="s">
        <v>38</v>
      </c>
      <c r="H80" s="12" t="s">
        <v>39</v>
      </c>
      <c r="I80" s="12" t="s">
        <v>40</v>
      </c>
      <c r="J80" s="12" t="s">
        <v>41</v>
      </c>
      <c r="K80" s="12" t="s">
        <v>208</v>
      </c>
    </row>
    <row r="81" ht="15.75" customHeight="1">
      <c r="A81" s="55" t="s">
        <v>130</v>
      </c>
      <c r="B81" s="55" t="s">
        <v>224</v>
      </c>
      <c r="C81" s="12" t="s">
        <v>33</v>
      </c>
      <c r="D81" s="12" t="s">
        <v>44</v>
      </c>
      <c r="E81" s="12" t="s">
        <v>45</v>
      </c>
      <c r="F81" s="12" t="s">
        <v>37</v>
      </c>
      <c r="G81" s="15" t="s">
        <v>38</v>
      </c>
      <c r="H81" s="12" t="s">
        <v>47</v>
      </c>
      <c r="I81" s="12" t="s">
        <v>48</v>
      </c>
      <c r="J81" s="12" t="s">
        <v>41</v>
      </c>
      <c r="K81" s="12" t="s">
        <v>208</v>
      </c>
    </row>
    <row r="82" ht="15.75" customHeight="1">
      <c r="A82" s="55" t="s">
        <v>130</v>
      </c>
      <c r="B82" s="55" t="s">
        <v>224</v>
      </c>
      <c r="C82" s="12" t="s">
        <v>33</v>
      </c>
      <c r="D82" s="12" t="s">
        <v>52</v>
      </c>
      <c r="E82" s="12" t="s">
        <v>53</v>
      </c>
      <c r="F82" s="12" t="s">
        <v>37</v>
      </c>
      <c r="G82" s="15" t="s">
        <v>38</v>
      </c>
      <c r="H82" s="12" t="s">
        <v>54</v>
      </c>
      <c r="I82" s="12" t="s">
        <v>48</v>
      </c>
      <c r="J82" s="12" t="s">
        <v>41</v>
      </c>
      <c r="K82" s="12" t="s">
        <v>208</v>
      </c>
    </row>
    <row r="83" ht="15.75" customHeight="1">
      <c r="A83" s="55" t="s">
        <v>130</v>
      </c>
      <c r="B83" s="55" t="s">
        <v>224</v>
      </c>
      <c r="C83" s="12" t="s">
        <v>55</v>
      </c>
      <c r="D83" s="12" t="s">
        <v>56</v>
      </c>
      <c r="E83" s="12" t="s">
        <v>57</v>
      </c>
      <c r="F83" s="12" t="s">
        <v>58</v>
      </c>
      <c r="G83" s="15" t="s">
        <v>38</v>
      </c>
      <c r="H83" s="12" t="s">
        <v>47</v>
      </c>
      <c r="I83" s="12" t="s">
        <v>48</v>
      </c>
      <c r="J83" s="12" t="s">
        <v>59</v>
      </c>
      <c r="K83" s="12" t="s">
        <v>208</v>
      </c>
    </row>
    <row r="84" ht="15.75" customHeight="1">
      <c r="A84" s="55" t="s">
        <v>130</v>
      </c>
      <c r="B84" s="55" t="s">
        <v>224</v>
      </c>
      <c r="C84" s="12" t="s">
        <v>209</v>
      </c>
      <c r="D84" s="12" t="s">
        <v>210</v>
      </c>
      <c r="E84" s="12" t="s">
        <v>57</v>
      </c>
      <c r="F84" s="12" t="s">
        <v>58</v>
      </c>
      <c r="G84" s="15" t="s">
        <v>38</v>
      </c>
      <c r="H84" s="12" t="s">
        <v>211</v>
      </c>
      <c r="I84" s="12" t="s">
        <v>48</v>
      </c>
      <c r="J84" s="12" t="s">
        <v>212</v>
      </c>
      <c r="K84" s="12" t="s">
        <v>208</v>
      </c>
    </row>
    <row r="85" ht="15.75" customHeight="1">
      <c r="A85" s="55" t="s">
        <v>130</v>
      </c>
      <c r="B85" s="55" t="s">
        <v>224</v>
      </c>
      <c r="C85" s="12" t="s">
        <v>33</v>
      </c>
      <c r="D85" s="12" t="s">
        <v>213</v>
      </c>
      <c r="E85" s="12" t="s">
        <v>45</v>
      </c>
      <c r="F85" s="12" t="s">
        <v>37</v>
      </c>
      <c r="G85" s="12" t="s">
        <v>40</v>
      </c>
      <c r="H85" s="12" t="s">
        <v>214</v>
      </c>
      <c r="I85" s="12" t="s">
        <v>48</v>
      </c>
      <c r="J85" s="12"/>
      <c r="K85" s="12" t="s">
        <v>215</v>
      </c>
    </row>
    <row r="86" ht="15.75" customHeight="1">
      <c r="A86" s="55" t="s">
        <v>130</v>
      </c>
      <c r="B86" s="55" t="s">
        <v>224</v>
      </c>
      <c r="C86" s="12" t="s">
        <v>33</v>
      </c>
      <c r="D86" s="12" t="s">
        <v>216</v>
      </c>
      <c r="E86" s="12" t="s">
        <v>45</v>
      </c>
      <c r="F86" s="12" t="s">
        <v>37</v>
      </c>
      <c r="G86" s="12" t="s">
        <v>40</v>
      </c>
      <c r="H86" s="12" t="s">
        <v>214</v>
      </c>
      <c r="I86" s="12" t="s">
        <v>48</v>
      </c>
      <c r="J86" s="12" t="s">
        <v>41</v>
      </c>
      <c r="K86" s="12" t="s">
        <v>215</v>
      </c>
    </row>
    <row r="87" ht="24.0" customHeight="1">
      <c r="A87" s="55" t="s">
        <v>130</v>
      </c>
      <c r="B87" s="55" t="s">
        <v>224</v>
      </c>
      <c r="C87" s="12" t="s">
        <v>33</v>
      </c>
      <c r="D87" s="12" t="s">
        <v>218</v>
      </c>
      <c r="E87" s="12" t="s">
        <v>219</v>
      </c>
      <c r="F87" s="12" t="s">
        <v>37</v>
      </c>
      <c r="G87" s="12" t="s">
        <v>40</v>
      </c>
      <c r="H87" s="12" t="s">
        <v>229</v>
      </c>
      <c r="I87" s="12" t="s">
        <v>38</v>
      </c>
      <c r="J87" s="12" t="s">
        <v>41</v>
      </c>
      <c r="K87" s="12" t="s">
        <v>215</v>
      </c>
    </row>
    <row r="88" ht="15.75" customHeight="1">
      <c r="A88" s="55" t="s">
        <v>130</v>
      </c>
      <c r="B88" s="55" t="s">
        <v>224</v>
      </c>
      <c r="C88" s="12" t="s">
        <v>33</v>
      </c>
      <c r="D88" s="12" t="s">
        <v>230</v>
      </c>
      <c r="E88" s="12" t="s">
        <v>53</v>
      </c>
      <c r="F88" s="12" t="s">
        <v>37</v>
      </c>
      <c r="G88" s="12" t="s">
        <v>40</v>
      </c>
      <c r="H88" s="12" t="s">
        <v>231</v>
      </c>
      <c r="I88" s="12" t="s">
        <v>48</v>
      </c>
      <c r="J88" s="12" t="s">
        <v>41</v>
      </c>
      <c r="K88" s="12" t="s">
        <v>215</v>
      </c>
    </row>
    <row r="89" ht="15.75" customHeight="1">
      <c r="A89" s="55" t="s">
        <v>130</v>
      </c>
      <c r="B89" s="55" t="s">
        <v>224</v>
      </c>
      <c r="C89" s="12" t="s">
        <v>233</v>
      </c>
      <c r="D89" s="12" t="s">
        <v>234</v>
      </c>
      <c r="E89" s="12" t="s">
        <v>156</v>
      </c>
      <c r="F89" s="12" t="s">
        <v>37</v>
      </c>
      <c r="G89" s="12" t="s">
        <v>40</v>
      </c>
      <c r="H89" s="12" t="s">
        <v>214</v>
      </c>
      <c r="I89" s="12" t="s">
        <v>40</v>
      </c>
      <c r="J89" s="12" t="s">
        <v>235</v>
      </c>
      <c r="K89" s="12" t="s">
        <v>215</v>
      </c>
    </row>
    <row r="90" ht="15.75" customHeight="1">
      <c r="A90" s="55" t="s">
        <v>130</v>
      </c>
      <c r="B90" s="55" t="s">
        <v>224</v>
      </c>
      <c r="C90" s="12" t="s">
        <v>203</v>
      </c>
      <c r="D90" s="12" t="s">
        <v>204</v>
      </c>
      <c r="E90" s="12" t="s">
        <v>205</v>
      </c>
      <c r="F90" s="12" t="s">
        <v>58</v>
      </c>
      <c r="G90" s="12" t="s">
        <v>40</v>
      </c>
      <c r="H90" s="12" t="s">
        <v>206</v>
      </c>
      <c r="I90" s="12" t="s">
        <v>48</v>
      </c>
      <c r="J90" s="12" t="s">
        <v>207</v>
      </c>
      <c r="K90" s="12" t="s">
        <v>215</v>
      </c>
    </row>
    <row r="91" ht="15.75" customHeight="1">
      <c r="A91" s="55" t="s">
        <v>130</v>
      </c>
      <c r="B91" s="55" t="s">
        <v>224</v>
      </c>
      <c r="C91" s="12" t="s">
        <v>154</v>
      </c>
      <c r="D91" s="12" t="s">
        <v>155</v>
      </c>
      <c r="E91" s="12" t="s">
        <v>156</v>
      </c>
      <c r="F91" s="12" t="s">
        <v>37</v>
      </c>
      <c r="G91" s="12" t="s">
        <v>40</v>
      </c>
      <c r="H91" s="12" t="s">
        <v>68</v>
      </c>
      <c r="I91" s="12" t="s">
        <v>40</v>
      </c>
      <c r="J91" s="12" t="s">
        <v>157</v>
      </c>
      <c r="K91" s="12" t="s">
        <v>215</v>
      </c>
    </row>
    <row r="92" ht="15.75" customHeight="1">
      <c r="A92" s="55" t="s">
        <v>130</v>
      </c>
      <c r="B92" s="55" t="s">
        <v>232</v>
      </c>
      <c r="C92" s="12" t="s">
        <v>33</v>
      </c>
      <c r="D92" s="12" t="s">
        <v>35</v>
      </c>
      <c r="E92" s="12" t="s">
        <v>36</v>
      </c>
      <c r="F92" s="12" t="s">
        <v>37</v>
      </c>
      <c r="G92" s="15" t="s">
        <v>38</v>
      </c>
      <c r="H92" s="12" t="s">
        <v>39</v>
      </c>
      <c r="I92" s="12" t="s">
        <v>40</v>
      </c>
      <c r="J92" s="12" t="s">
        <v>41</v>
      </c>
      <c r="K92" s="12" t="s">
        <v>208</v>
      </c>
    </row>
    <row r="93" ht="15.75" customHeight="1">
      <c r="A93" s="55" t="s">
        <v>130</v>
      </c>
      <c r="B93" s="55" t="s">
        <v>232</v>
      </c>
      <c r="C93" s="12" t="s">
        <v>33</v>
      </c>
      <c r="D93" s="12" t="s">
        <v>44</v>
      </c>
      <c r="E93" s="12" t="s">
        <v>45</v>
      </c>
      <c r="F93" s="12" t="s">
        <v>37</v>
      </c>
      <c r="G93" s="15" t="s">
        <v>38</v>
      </c>
      <c r="H93" s="12" t="s">
        <v>47</v>
      </c>
      <c r="I93" s="12" t="s">
        <v>48</v>
      </c>
      <c r="J93" s="12" t="s">
        <v>41</v>
      </c>
      <c r="K93" s="12" t="s">
        <v>208</v>
      </c>
    </row>
    <row r="94" ht="22.5" customHeight="1">
      <c r="A94" s="55" t="s">
        <v>130</v>
      </c>
      <c r="B94" s="55" t="s">
        <v>232</v>
      </c>
      <c r="C94" s="12" t="s">
        <v>33</v>
      </c>
      <c r="D94" s="12" t="s">
        <v>52</v>
      </c>
      <c r="E94" s="12" t="s">
        <v>53</v>
      </c>
      <c r="F94" s="12" t="s">
        <v>37</v>
      </c>
      <c r="G94" s="15" t="s">
        <v>38</v>
      </c>
      <c r="H94" s="12" t="s">
        <v>54</v>
      </c>
      <c r="I94" s="12" t="s">
        <v>48</v>
      </c>
      <c r="J94" s="12" t="s">
        <v>41</v>
      </c>
      <c r="K94" s="12" t="s">
        <v>208</v>
      </c>
    </row>
    <row r="95" ht="24.75" customHeight="1">
      <c r="A95" s="55" t="s">
        <v>130</v>
      </c>
      <c r="B95" s="55" t="s">
        <v>232</v>
      </c>
      <c r="C95" s="12" t="s">
        <v>55</v>
      </c>
      <c r="D95" s="12" t="s">
        <v>56</v>
      </c>
      <c r="E95" s="12" t="s">
        <v>57</v>
      </c>
      <c r="F95" s="12" t="s">
        <v>58</v>
      </c>
      <c r="G95" s="15" t="s">
        <v>38</v>
      </c>
      <c r="H95" s="12" t="s">
        <v>47</v>
      </c>
      <c r="I95" s="12" t="s">
        <v>48</v>
      </c>
      <c r="J95" s="12" t="s">
        <v>59</v>
      </c>
      <c r="K95" s="12" t="s">
        <v>208</v>
      </c>
    </row>
    <row r="96" ht="15.75" customHeight="1">
      <c r="A96" s="55" t="s">
        <v>130</v>
      </c>
      <c r="B96" s="55" t="s">
        <v>232</v>
      </c>
      <c r="C96" s="12" t="s">
        <v>209</v>
      </c>
      <c r="D96" s="12" t="s">
        <v>210</v>
      </c>
      <c r="E96" s="12" t="s">
        <v>57</v>
      </c>
      <c r="F96" s="12" t="s">
        <v>58</v>
      </c>
      <c r="G96" s="15" t="s">
        <v>38</v>
      </c>
      <c r="H96" s="12" t="s">
        <v>211</v>
      </c>
      <c r="I96" s="12" t="s">
        <v>48</v>
      </c>
      <c r="J96" s="12" t="s">
        <v>212</v>
      </c>
      <c r="K96" s="12" t="s">
        <v>208</v>
      </c>
    </row>
    <row r="97" ht="15.75" customHeight="1">
      <c r="A97" s="55" t="s">
        <v>130</v>
      </c>
      <c r="B97" s="55" t="s">
        <v>232</v>
      </c>
      <c r="C97" s="12" t="s">
        <v>33</v>
      </c>
      <c r="D97" s="12" t="s">
        <v>213</v>
      </c>
      <c r="E97" s="12" t="s">
        <v>45</v>
      </c>
      <c r="F97" s="12" t="s">
        <v>37</v>
      </c>
      <c r="G97" s="12" t="s">
        <v>40</v>
      </c>
      <c r="H97" s="12" t="s">
        <v>214</v>
      </c>
      <c r="I97" s="12" t="s">
        <v>48</v>
      </c>
      <c r="J97" s="12"/>
      <c r="K97" s="12" t="s">
        <v>215</v>
      </c>
    </row>
    <row r="98" ht="15.75" customHeight="1">
      <c r="A98" s="55" t="s">
        <v>130</v>
      </c>
      <c r="B98" s="55" t="s">
        <v>232</v>
      </c>
      <c r="C98" s="12" t="s">
        <v>33</v>
      </c>
      <c r="D98" s="12" t="s">
        <v>216</v>
      </c>
      <c r="E98" s="12" t="s">
        <v>45</v>
      </c>
      <c r="F98" s="12" t="s">
        <v>37</v>
      </c>
      <c r="G98" s="12" t="s">
        <v>40</v>
      </c>
      <c r="H98" s="12" t="s">
        <v>214</v>
      </c>
      <c r="I98" s="12" t="s">
        <v>48</v>
      </c>
      <c r="J98" s="12" t="s">
        <v>41</v>
      </c>
      <c r="K98" s="12" t="s">
        <v>215</v>
      </c>
    </row>
    <row r="99" ht="24.0" customHeight="1">
      <c r="A99" s="55" t="s">
        <v>130</v>
      </c>
      <c r="B99" s="55" t="s">
        <v>232</v>
      </c>
      <c r="C99" s="12" t="s">
        <v>33</v>
      </c>
      <c r="D99" s="12" t="s">
        <v>218</v>
      </c>
      <c r="E99" s="12" t="s">
        <v>219</v>
      </c>
      <c r="F99" s="12" t="s">
        <v>37</v>
      </c>
      <c r="G99" s="12" t="s">
        <v>40</v>
      </c>
      <c r="H99" s="12" t="s">
        <v>229</v>
      </c>
      <c r="I99" s="12" t="s">
        <v>38</v>
      </c>
      <c r="J99" s="12" t="s">
        <v>41</v>
      </c>
      <c r="K99" s="12" t="s">
        <v>215</v>
      </c>
    </row>
    <row r="100" ht="15.75" customHeight="1">
      <c r="A100" s="55" t="s">
        <v>130</v>
      </c>
      <c r="B100" s="55" t="s">
        <v>232</v>
      </c>
      <c r="C100" s="12" t="s">
        <v>33</v>
      </c>
      <c r="D100" s="12" t="s">
        <v>230</v>
      </c>
      <c r="E100" s="12" t="s">
        <v>53</v>
      </c>
      <c r="F100" s="12" t="s">
        <v>37</v>
      </c>
      <c r="G100" s="12" t="s">
        <v>40</v>
      </c>
      <c r="H100" s="12" t="s">
        <v>231</v>
      </c>
      <c r="I100" s="12" t="s">
        <v>48</v>
      </c>
      <c r="J100" s="12" t="s">
        <v>41</v>
      </c>
      <c r="K100" s="12" t="s">
        <v>215</v>
      </c>
    </row>
    <row r="101" ht="15.75" customHeight="1">
      <c r="A101" s="55" t="s">
        <v>130</v>
      </c>
      <c r="B101" s="55" t="s">
        <v>232</v>
      </c>
      <c r="C101" s="12" t="s">
        <v>203</v>
      </c>
      <c r="D101" s="12" t="s">
        <v>204</v>
      </c>
      <c r="E101" s="12" t="s">
        <v>205</v>
      </c>
      <c r="F101" s="12" t="s">
        <v>58</v>
      </c>
      <c r="G101" s="12" t="s">
        <v>40</v>
      </c>
      <c r="H101" s="12" t="s">
        <v>206</v>
      </c>
      <c r="I101" s="12" t="s">
        <v>48</v>
      </c>
      <c r="J101" s="12" t="s">
        <v>207</v>
      </c>
      <c r="K101" s="12" t="s">
        <v>215</v>
      </c>
    </row>
    <row r="102" ht="15.75" customHeight="1">
      <c r="A102" s="55" t="s">
        <v>130</v>
      </c>
      <c r="B102" s="55" t="s">
        <v>232</v>
      </c>
      <c r="C102" s="12" t="s">
        <v>154</v>
      </c>
      <c r="D102" s="12" t="s">
        <v>155</v>
      </c>
      <c r="E102" s="12" t="s">
        <v>156</v>
      </c>
      <c r="F102" s="12" t="s">
        <v>37</v>
      </c>
      <c r="G102" s="12" t="s">
        <v>40</v>
      </c>
      <c r="H102" s="12" t="s">
        <v>68</v>
      </c>
      <c r="I102" s="12" t="s">
        <v>40</v>
      </c>
      <c r="J102" s="12" t="s">
        <v>157</v>
      </c>
      <c r="K102" s="12" t="s">
        <v>215</v>
      </c>
    </row>
    <row r="103" ht="15.75" customHeight="1">
      <c r="A103" s="55" t="s">
        <v>130</v>
      </c>
      <c r="B103" s="55" t="s">
        <v>236</v>
      </c>
      <c r="C103" s="12" t="s">
        <v>33</v>
      </c>
      <c r="D103" s="12" t="s">
        <v>35</v>
      </c>
      <c r="E103" s="12" t="s">
        <v>36</v>
      </c>
      <c r="F103" s="12" t="s">
        <v>37</v>
      </c>
      <c r="G103" s="15" t="s">
        <v>38</v>
      </c>
      <c r="H103" s="12" t="s">
        <v>39</v>
      </c>
      <c r="I103" s="12" t="s">
        <v>40</v>
      </c>
      <c r="J103" s="12" t="s">
        <v>41</v>
      </c>
      <c r="K103" s="12" t="s">
        <v>208</v>
      </c>
    </row>
    <row r="104" ht="15.75" customHeight="1">
      <c r="A104" s="55" t="s">
        <v>130</v>
      </c>
      <c r="B104" s="55" t="s">
        <v>236</v>
      </c>
      <c r="C104" s="12" t="s">
        <v>33</v>
      </c>
      <c r="D104" s="12" t="s">
        <v>44</v>
      </c>
      <c r="E104" s="12" t="s">
        <v>45</v>
      </c>
      <c r="F104" s="12" t="s">
        <v>37</v>
      </c>
      <c r="G104" s="15" t="s">
        <v>38</v>
      </c>
      <c r="H104" s="12" t="s">
        <v>47</v>
      </c>
      <c r="I104" s="12" t="s">
        <v>48</v>
      </c>
      <c r="J104" s="12" t="s">
        <v>41</v>
      </c>
      <c r="K104" s="12" t="s">
        <v>208</v>
      </c>
    </row>
    <row r="105" ht="15.75" customHeight="1">
      <c r="A105" s="55" t="s">
        <v>130</v>
      </c>
      <c r="B105" s="55" t="s">
        <v>236</v>
      </c>
      <c r="C105" s="12" t="s">
        <v>33</v>
      </c>
      <c r="D105" s="12" t="s">
        <v>52</v>
      </c>
      <c r="E105" s="12" t="s">
        <v>53</v>
      </c>
      <c r="F105" s="12" t="s">
        <v>37</v>
      </c>
      <c r="G105" s="15" t="s">
        <v>38</v>
      </c>
      <c r="H105" s="12" t="s">
        <v>54</v>
      </c>
      <c r="I105" s="12" t="s">
        <v>48</v>
      </c>
      <c r="J105" s="12" t="s">
        <v>41</v>
      </c>
      <c r="K105" s="12" t="s">
        <v>208</v>
      </c>
    </row>
    <row r="106" ht="15.75" customHeight="1">
      <c r="A106" s="55" t="s">
        <v>130</v>
      </c>
      <c r="B106" s="55" t="s">
        <v>236</v>
      </c>
      <c r="C106" s="12" t="s">
        <v>55</v>
      </c>
      <c r="D106" s="12" t="s">
        <v>56</v>
      </c>
      <c r="E106" s="12" t="s">
        <v>57</v>
      </c>
      <c r="F106" s="12" t="s">
        <v>58</v>
      </c>
      <c r="G106" s="15" t="s">
        <v>38</v>
      </c>
      <c r="H106" s="12" t="s">
        <v>47</v>
      </c>
      <c r="I106" s="12" t="s">
        <v>48</v>
      </c>
      <c r="J106" s="12" t="s">
        <v>59</v>
      </c>
      <c r="K106" s="12" t="s">
        <v>208</v>
      </c>
    </row>
    <row r="107" ht="15.75" customHeight="1">
      <c r="A107" s="55" t="s">
        <v>130</v>
      </c>
      <c r="B107" s="55" t="s">
        <v>236</v>
      </c>
      <c r="C107" s="12" t="s">
        <v>248</v>
      </c>
      <c r="D107" s="12" t="s">
        <v>249</v>
      </c>
      <c r="E107" s="12" t="s">
        <v>57</v>
      </c>
      <c r="F107" s="12" t="s">
        <v>58</v>
      </c>
      <c r="G107" s="15" t="s">
        <v>38</v>
      </c>
      <c r="H107" s="12" t="s">
        <v>72</v>
      </c>
      <c r="I107" s="12" t="s">
        <v>48</v>
      </c>
      <c r="J107" s="12" t="s">
        <v>250</v>
      </c>
      <c r="K107" s="12" t="s">
        <v>208</v>
      </c>
    </row>
    <row r="108" ht="15.75" customHeight="1">
      <c r="A108" s="55" t="s">
        <v>130</v>
      </c>
      <c r="B108" s="55" t="s">
        <v>236</v>
      </c>
      <c r="C108" s="12" t="s">
        <v>209</v>
      </c>
      <c r="D108" s="12" t="s">
        <v>210</v>
      </c>
      <c r="E108" s="12" t="s">
        <v>57</v>
      </c>
      <c r="F108" s="12" t="s">
        <v>58</v>
      </c>
      <c r="G108" s="15" t="s">
        <v>38</v>
      </c>
      <c r="H108" s="12" t="s">
        <v>211</v>
      </c>
      <c r="I108" s="12" t="s">
        <v>48</v>
      </c>
      <c r="J108" s="12" t="s">
        <v>212</v>
      </c>
      <c r="K108" s="12" t="s">
        <v>208</v>
      </c>
    </row>
    <row r="109" ht="15.75" customHeight="1">
      <c r="A109" s="55" t="s">
        <v>130</v>
      </c>
      <c r="B109" s="55" t="s">
        <v>236</v>
      </c>
      <c r="C109" s="12" t="s">
        <v>33</v>
      </c>
      <c r="D109" s="12" t="s">
        <v>213</v>
      </c>
      <c r="E109" s="12" t="s">
        <v>45</v>
      </c>
      <c r="F109" s="12" t="s">
        <v>37</v>
      </c>
      <c r="G109" s="12" t="s">
        <v>40</v>
      </c>
      <c r="H109" s="12" t="s">
        <v>214</v>
      </c>
      <c r="I109" s="12" t="s">
        <v>48</v>
      </c>
      <c r="J109" s="12"/>
      <c r="K109" s="12" t="s">
        <v>215</v>
      </c>
    </row>
    <row r="110" ht="15.75" customHeight="1">
      <c r="A110" s="55" t="s">
        <v>130</v>
      </c>
      <c r="B110" s="55" t="s">
        <v>236</v>
      </c>
      <c r="C110" s="12" t="s">
        <v>33</v>
      </c>
      <c r="D110" s="12" t="s">
        <v>216</v>
      </c>
      <c r="E110" s="12" t="s">
        <v>45</v>
      </c>
      <c r="F110" s="12" t="s">
        <v>37</v>
      </c>
      <c r="G110" s="12" t="s">
        <v>40</v>
      </c>
      <c r="H110" s="12" t="s">
        <v>214</v>
      </c>
      <c r="I110" s="12" t="s">
        <v>48</v>
      </c>
      <c r="J110" s="12" t="s">
        <v>41</v>
      </c>
      <c r="K110" s="12" t="s">
        <v>215</v>
      </c>
    </row>
    <row r="111" ht="15.75" customHeight="1">
      <c r="A111" s="55" t="s">
        <v>130</v>
      </c>
      <c r="B111" s="55" t="s">
        <v>236</v>
      </c>
      <c r="C111" s="12" t="s">
        <v>33</v>
      </c>
      <c r="D111" s="12" t="s">
        <v>218</v>
      </c>
      <c r="E111" s="12" t="s">
        <v>219</v>
      </c>
      <c r="F111" s="12" t="s">
        <v>37</v>
      </c>
      <c r="G111" s="12" t="s">
        <v>40</v>
      </c>
      <c r="H111" s="12" t="s">
        <v>229</v>
      </c>
      <c r="I111" s="12" t="s">
        <v>38</v>
      </c>
      <c r="J111" s="12" t="s">
        <v>41</v>
      </c>
      <c r="K111" s="12" t="s">
        <v>215</v>
      </c>
    </row>
    <row r="112" ht="15.75" customHeight="1">
      <c r="A112" s="55" t="s">
        <v>130</v>
      </c>
      <c r="B112" s="55" t="s">
        <v>236</v>
      </c>
      <c r="C112" s="12" t="s">
        <v>33</v>
      </c>
      <c r="D112" s="12" t="s">
        <v>230</v>
      </c>
      <c r="E112" s="12" t="s">
        <v>53</v>
      </c>
      <c r="F112" s="12" t="s">
        <v>37</v>
      </c>
      <c r="G112" s="12" t="s">
        <v>40</v>
      </c>
      <c r="H112" s="12" t="s">
        <v>231</v>
      </c>
      <c r="I112" s="12" t="s">
        <v>48</v>
      </c>
      <c r="J112" s="12" t="s">
        <v>41</v>
      </c>
      <c r="K112" s="12" t="s">
        <v>215</v>
      </c>
    </row>
    <row r="113" ht="15.75" customHeight="1">
      <c r="A113" s="55" t="s">
        <v>130</v>
      </c>
      <c r="B113" s="55" t="s">
        <v>236</v>
      </c>
      <c r="C113" s="12" t="s">
        <v>203</v>
      </c>
      <c r="D113" s="12" t="s">
        <v>204</v>
      </c>
      <c r="E113" s="12" t="s">
        <v>205</v>
      </c>
      <c r="F113" s="12" t="s">
        <v>58</v>
      </c>
      <c r="G113" s="12" t="s">
        <v>40</v>
      </c>
      <c r="H113" s="12" t="s">
        <v>206</v>
      </c>
      <c r="I113" s="12" t="s">
        <v>48</v>
      </c>
      <c r="J113" s="12" t="s">
        <v>207</v>
      </c>
      <c r="K113" s="12" t="s">
        <v>215</v>
      </c>
    </row>
    <row r="114" ht="15.75" customHeight="1">
      <c r="A114" s="55" t="s">
        <v>130</v>
      </c>
      <c r="B114" s="55" t="s">
        <v>236</v>
      </c>
      <c r="C114" s="12" t="s">
        <v>154</v>
      </c>
      <c r="D114" s="12" t="s">
        <v>155</v>
      </c>
      <c r="E114" s="12" t="s">
        <v>156</v>
      </c>
      <c r="F114" s="12" t="s">
        <v>37</v>
      </c>
      <c r="G114" s="12" t="s">
        <v>40</v>
      </c>
      <c r="H114" s="12" t="s">
        <v>68</v>
      </c>
      <c r="I114" s="12" t="s">
        <v>40</v>
      </c>
      <c r="J114" s="12" t="s">
        <v>157</v>
      </c>
      <c r="K114" s="12" t="s">
        <v>215</v>
      </c>
    </row>
    <row r="115" ht="15.75" customHeight="1">
      <c r="A115" s="55" t="s">
        <v>130</v>
      </c>
      <c r="B115" s="55" t="s">
        <v>251</v>
      </c>
      <c r="C115" s="12" t="s">
        <v>33</v>
      </c>
      <c r="D115" s="12" t="s">
        <v>35</v>
      </c>
      <c r="E115" s="12" t="s">
        <v>36</v>
      </c>
      <c r="F115" s="12" t="s">
        <v>37</v>
      </c>
      <c r="G115" s="15" t="s">
        <v>38</v>
      </c>
      <c r="H115" s="12" t="s">
        <v>39</v>
      </c>
      <c r="I115" s="12" t="s">
        <v>40</v>
      </c>
      <c r="J115" s="12" t="s">
        <v>41</v>
      </c>
      <c r="K115" s="12" t="s">
        <v>208</v>
      </c>
    </row>
    <row r="116" ht="15.75" customHeight="1">
      <c r="A116" s="55" t="s">
        <v>130</v>
      </c>
      <c r="B116" s="55" t="s">
        <v>251</v>
      </c>
      <c r="C116" s="12" t="s">
        <v>33</v>
      </c>
      <c r="D116" s="12" t="s">
        <v>44</v>
      </c>
      <c r="E116" s="12" t="s">
        <v>45</v>
      </c>
      <c r="F116" s="12" t="s">
        <v>37</v>
      </c>
      <c r="G116" s="15" t="s">
        <v>38</v>
      </c>
      <c r="H116" s="12" t="s">
        <v>47</v>
      </c>
      <c r="I116" s="12" t="s">
        <v>48</v>
      </c>
      <c r="J116" s="12" t="s">
        <v>41</v>
      </c>
      <c r="K116" s="12" t="s">
        <v>208</v>
      </c>
    </row>
    <row r="117" ht="15.75" customHeight="1">
      <c r="A117" s="55" t="s">
        <v>130</v>
      </c>
      <c r="B117" s="55" t="s">
        <v>251</v>
      </c>
      <c r="C117" s="12" t="s">
        <v>33</v>
      </c>
      <c r="D117" s="12" t="s">
        <v>52</v>
      </c>
      <c r="E117" s="12" t="s">
        <v>53</v>
      </c>
      <c r="F117" s="12" t="s">
        <v>37</v>
      </c>
      <c r="G117" s="15" t="s">
        <v>38</v>
      </c>
      <c r="H117" s="12" t="s">
        <v>54</v>
      </c>
      <c r="I117" s="12" t="s">
        <v>48</v>
      </c>
      <c r="J117" s="12" t="s">
        <v>41</v>
      </c>
      <c r="K117" s="12" t="s">
        <v>208</v>
      </c>
    </row>
    <row r="118" ht="15.75" customHeight="1">
      <c r="A118" s="55" t="s">
        <v>130</v>
      </c>
      <c r="B118" s="55" t="s">
        <v>251</v>
      </c>
      <c r="C118" s="12" t="s">
        <v>55</v>
      </c>
      <c r="D118" s="12" t="s">
        <v>56</v>
      </c>
      <c r="E118" s="12" t="s">
        <v>57</v>
      </c>
      <c r="F118" s="12" t="s">
        <v>58</v>
      </c>
      <c r="G118" s="15" t="s">
        <v>38</v>
      </c>
      <c r="H118" s="12" t="s">
        <v>47</v>
      </c>
      <c r="I118" s="12" t="s">
        <v>48</v>
      </c>
      <c r="J118" s="12" t="s">
        <v>59</v>
      </c>
      <c r="K118" s="12" t="s">
        <v>208</v>
      </c>
    </row>
    <row r="119" ht="15.75" customHeight="1">
      <c r="A119" s="55" t="s">
        <v>130</v>
      </c>
      <c r="B119" s="55" t="s">
        <v>251</v>
      </c>
      <c r="C119" s="12" t="s">
        <v>209</v>
      </c>
      <c r="D119" s="12" t="s">
        <v>210</v>
      </c>
      <c r="E119" s="12" t="s">
        <v>57</v>
      </c>
      <c r="F119" s="12" t="s">
        <v>58</v>
      </c>
      <c r="G119" s="15" t="s">
        <v>38</v>
      </c>
      <c r="H119" s="12" t="s">
        <v>211</v>
      </c>
      <c r="I119" s="12" t="s">
        <v>48</v>
      </c>
      <c r="J119" s="12" t="s">
        <v>212</v>
      </c>
      <c r="K119" s="12" t="s">
        <v>208</v>
      </c>
    </row>
    <row r="120" ht="15.75" customHeight="1">
      <c r="A120" s="55" t="s">
        <v>130</v>
      </c>
      <c r="B120" s="55" t="s">
        <v>251</v>
      </c>
      <c r="C120" s="12" t="s">
        <v>33</v>
      </c>
      <c r="D120" s="12" t="s">
        <v>213</v>
      </c>
      <c r="E120" s="12" t="s">
        <v>45</v>
      </c>
      <c r="F120" s="12" t="s">
        <v>37</v>
      </c>
      <c r="G120" s="12" t="s">
        <v>40</v>
      </c>
      <c r="H120" s="12" t="s">
        <v>214</v>
      </c>
      <c r="I120" s="12" t="s">
        <v>48</v>
      </c>
      <c r="J120" s="12"/>
      <c r="K120" s="12" t="s">
        <v>215</v>
      </c>
    </row>
    <row r="121" ht="15.75" customHeight="1">
      <c r="A121" s="55" t="s">
        <v>130</v>
      </c>
      <c r="B121" s="55" t="s">
        <v>251</v>
      </c>
      <c r="C121" s="12" t="s">
        <v>33</v>
      </c>
      <c r="D121" s="12" t="s">
        <v>216</v>
      </c>
      <c r="E121" s="12" t="s">
        <v>45</v>
      </c>
      <c r="F121" s="12" t="s">
        <v>37</v>
      </c>
      <c r="G121" s="12" t="s">
        <v>40</v>
      </c>
      <c r="H121" s="12" t="s">
        <v>214</v>
      </c>
      <c r="I121" s="12" t="s">
        <v>48</v>
      </c>
      <c r="J121" s="12" t="s">
        <v>41</v>
      </c>
      <c r="K121" s="12" t="s">
        <v>215</v>
      </c>
    </row>
    <row r="122" ht="15.75" customHeight="1">
      <c r="A122" s="55" t="s">
        <v>130</v>
      </c>
      <c r="B122" s="55" t="s">
        <v>251</v>
      </c>
      <c r="C122" s="12" t="s">
        <v>33</v>
      </c>
      <c r="D122" s="12" t="s">
        <v>218</v>
      </c>
      <c r="E122" s="12" t="s">
        <v>219</v>
      </c>
      <c r="F122" s="12" t="s">
        <v>37</v>
      </c>
      <c r="G122" s="12" t="s">
        <v>40</v>
      </c>
      <c r="H122" s="12" t="s">
        <v>229</v>
      </c>
      <c r="I122" s="12" t="s">
        <v>38</v>
      </c>
      <c r="J122" s="12" t="s">
        <v>41</v>
      </c>
      <c r="K122" s="12" t="s">
        <v>215</v>
      </c>
    </row>
    <row r="123" ht="15.75" customHeight="1">
      <c r="A123" s="55" t="s">
        <v>130</v>
      </c>
      <c r="B123" s="55" t="s">
        <v>251</v>
      </c>
      <c r="C123" s="12" t="s">
        <v>33</v>
      </c>
      <c r="D123" s="12" t="s">
        <v>230</v>
      </c>
      <c r="E123" s="12" t="s">
        <v>53</v>
      </c>
      <c r="F123" s="12" t="s">
        <v>37</v>
      </c>
      <c r="G123" s="12" t="s">
        <v>40</v>
      </c>
      <c r="H123" s="12" t="s">
        <v>231</v>
      </c>
      <c r="I123" s="12" t="s">
        <v>48</v>
      </c>
      <c r="J123" s="12" t="s">
        <v>41</v>
      </c>
      <c r="K123" s="12" t="s">
        <v>215</v>
      </c>
    </row>
    <row r="124" ht="15.75" customHeight="1">
      <c r="A124" s="55" t="s">
        <v>130</v>
      </c>
      <c r="B124" s="55" t="s">
        <v>251</v>
      </c>
      <c r="C124" s="12" t="s">
        <v>203</v>
      </c>
      <c r="D124" s="12" t="s">
        <v>204</v>
      </c>
      <c r="E124" s="12" t="s">
        <v>205</v>
      </c>
      <c r="F124" s="12" t="s">
        <v>58</v>
      </c>
      <c r="G124" s="12" t="s">
        <v>40</v>
      </c>
      <c r="H124" s="12" t="s">
        <v>206</v>
      </c>
      <c r="I124" s="12" t="s">
        <v>48</v>
      </c>
      <c r="J124" s="12" t="s">
        <v>207</v>
      </c>
      <c r="K124" s="12" t="s">
        <v>215</v>
      </c>
    </row>
    <row r="125" ht="15.75" customHeight="1">
      <c r="A125" s="55" t="s">
        <v>130</v>
      </c>
      <c r="B125" s="55" t="s">
        <v>251</v>
      </c>
      <c r="C125" s="12" t="s">
        <v>154</v>
      </c>
      <c r="D125" s="12" t="s">
        <v>155</v>
      </c>
      <c r="E125" s="12" t="s">
        <v>156</v>
      </c>
      <c r="F125" s="12" t="s">
        <v>37</v>
      </c>
      <c r="G125" s="12" t="s">
        <v>40</v>
      </c>
      <c r="H125" s="12" t="s">
        <v>68</v>
      </c>
      <c r="I125" s="12" t="s">
        <v>40</v>
      </c>
      <c r="J125" s="12" t="s">
        <v>157</v>
      </c>
      <c r="K125" s="12" t="s">
        <v>215</v>
      </c>
    </row>
    <row r="126" ht="15.75" customHeight="1">
      <c r="A126" s="55" t="s">
        <v>130</v>
      </c>
      <c r="B126" s="55" t="s">
        <v>252</v>
      </c>
      <c r="C126" s="12" t="s">
        <v>33</v>
      </c>
      <c r="D126" s="12" t="s">
        <v>35</v>
      </c>
      <c r="E126" s="12" t="s">
        <v>36</v>
      </c>
      <c r="F126" s="12" t="s">
        <v>37</v>
      </c>
      <c r="G126" s="15" t="s">
        <v>38</v>
      </c>
      <c r="H126" s="12" t="s">
        <v>39</v>
      </c>
      <c r="I126" s="12" t="s">
        <v>40</v>
      </c>
      <c r="J126" s="12" t="s">
        <v>41</v>
      </c>
      <c r="K126" s="12" t="s">
        <v>208</v>
      </c>
    </row>
    <row r="127" ht="15.75" customHeight="1">
      <c r="A127" s="55" t="s">
        <v>130</v>
      </c>
      <c r="B127" s="55" t="s">
        <v>252</v>
      </c>
      <c r="C127" s="12" t="s">
        <v>33</v>
      </c>
      <c r="D127" s="12" t="s">
        <v>44</v>
      </c>
      <c r="E127" s="12" t="s">
        <v>45</v>
      </c>
      <c r="F127" s="12" t="s">
        <v>37</v>
      </c>
      <c r="G127" s="15" t="s">
        <v>38</v>
      </c>
      <c r="H127" s="12" t="s">
        <v>47</v>
      </c>
      <c r="I127" s="12" t="s">
        <v>48</v>
      </c>
      <c r="J127" s="12" t="s">
        <v>41</v>
      </c>
      <c r="K127" s="12" t="s">
        <v>208</v>
      </c>
    </row>
    <row r="128" ht="15.75" customHeight="1">
      <c r="A128" s="55" t="s">
        <v>130</v>
      </c>
      <c r="B128" s="55" t="s">
        <v>252</v>
      </c>
      <c r="C128" s="12" t="s">
        <v>33</v>
      </c>
      <c r="D128" s="12" t="s">
        <v>52</v>
      </c>
      <c r="E128" s="12" t="s">
        <v>53</v>
      </c>
      <c r="F128" s="12" t="s">
        <v>37</v>
      </c>
      <c r="G128" s="15" t="s">
        <v>38</v>
      </c>
      <c r="H128" s="12" t="s">
        <v>54</v>
      </c>
      <c r="I128" s="12" t="s">
        <v>48</v>
      </c>
      <c r="J128" s="12" t="s">
        <v>41</v>
      </c>
      <c r="K128" s="12" t="s">
        <v>208</v>
      </c>
    </row>
    <row r="129" ht="15.75" customHeight="1">
      <c r="A129" s="55" t="s">
        <v>130</v>
      </c>
      <c r="B129" s="55" t="s">
        <v>252</v>
      </c>
      <c r="C129" s="12" t="s">
        <v>55</v>
      </c>
      <c r="D129" s="12" t="s">
        <v>56</v>
      </c>
      <c r="E129" s="12" t="s">
        <v>57</v>
      </c>
      <c r="F129" s="12" t="s">
        <v>58</v>
      </c>
      <c r="G129" s="15" t="s">
        <v>38</v>
      </c>
      <c r="H129" s="12" t="s">
        <v>47</v>
      </c>
      <c r="I129" s="12" t="s">
        <v>48</v>
      </c>
      <c r="J129" s="12" t="s">
        <v>59</v>
      </c>
      <c r="K129" s="12" t="s">
        <v>208</v>
      </c>
    </row>
    <row r="130" ht="15.75" customHeight="1">
      <c r="A130" s="55" t="s">
        <v>130</v>
      </c>
      <c r="B130" s="55" t="s">
        <v>252</v>
      </c>
      <c r="C130" s="12" t="s">
        <v>253</v>
      </c>
      <c r="D130" s="12" t="s">
        <v>254</v>
      </c>
      <c r="E130" s="12" t="s">
        <v>57</v>
      </c>
      <c r="F130" s="12" t="s">
        <v>58</v>
      </c>
      <c r="G130" s="15" t="s">
        <v>38</v>
      </c>
      <c r="H130" s="12" t="s">
        <v>72</v>
      </c>
      <c r="I130" s="12" t="s">
        <v>48</v>
      </c>
      <c r="J130" s="12" t="s">
        <v>255</v>
      </c>
      <c r="K130" s="12" t="s">
        <v>208</v>
      </c>
    </row>
    <row r="131" ht="15.75" customHeight="1">
      <c r="A131" s="55" t="s">
        <v>130</v>
      </c>
      <c r="B131" s="55" t="s">
        <v>252</v>
      </c>
      <c r="C131" s="12" t="s">
        <v>256</v>
      </c>
      <c r="D131" s="12" t="s">
        <v>257</v>
      </c>
      <c r="E131" s="12" t="s">
        <v>57</v>
      </c>
      <c r="F131" s="12" t="s">
        <v>58</v>
      </c>
      <c r="G131" s="15" t="s">
        <v>38</v>
      </c>
      <c r="H131" s="12" t="s">
        <v>211</v>
      </c>
      <c r="I131" s="12" t="s">
        <v>48</v>
      </c>
      <c r="J131" s="12" t="s">
        <v>258</v>
      </c>
      <c r="K131" s="12" t="s">
        <v>208</v>
      </c>
    </row>
    <row r="132" ht="15.75" customHeight="1">
      <c r="A132" s="55" t="s">
        <v>130</v>
      </c>
      <c r="B132" s="55" t="s">
        <v>252</v>
      </c>
      <c r="C132" s="12" t="s">
        <v>33</v>
      </c>
      <c r="D132" s="12" t="s">
        <v>213</v>
      </c>
      <c r="E132" s="12" t="s">
        <v>45</v>
      </c>
      <c r="F132" s="12" t="s">
        <v>37</v>
      </c>
      <c r="G132" s="12" t="s">
        <v>40</v>
      </c>
      <c r="H132" s="12" t="s">
        <v>214</v>
      </c>
      <c r="I132" s="12" t="s">
        <v>48</v>
      </c>
      <c r="J132" s="12"/>
      <c r="K132" s="12" t="s">
        <v>215</v>
      </c>
    </row>
    <row r="133" ht="15.75" customHeight="1">
      <c r="A133" s="55" t="s">
        <v>130</v>
      </c>
      <c r="B133" s="55" t="s">
        <v>252</v>
      </c>
      <c r="C133" s="12" t="s">
        <v>33</v>
      </c>
      <c r="D133" s="12" t="s">
        <v>216</v>
      </c>
      <c r="E133" s="12" t="s">
        <v>45</v>
      </c>
      <c r="F133" s="12" t="s">
        <v>37</v>
      </c>
      <c r="G133" s="12" t="s">
        <v>40</v>
      </c>
      <c r="H133" s="12" t="s">
        <v>214</v>
      </c>
      <c r="I133" s="12" t="s">
        <v>48</v>
      </c>
      <c r="J133" s="12" t="s">
        <v>41</v>
      </c>
      <c r="K133" s="12" t="s">
        <v>215</v>
      </c>
    </row>
    <row r="134" ht="15.75" customHeight="1">
      <c r="A134" s="55" t="s">
        <v>130</v>
      </c>
      <c r="B134" s="55" t="s">
        <v>252</v>
      </c>
      <c r="C134" s="12" t="s">
        <v>33</v>
      </c>
      <c r="D134" s="12" t="s">
        <v>218</v>
      </c>
      <c r="E134" s="12" t="s">
        <v>219</v>
      </c>
      <c r="F134" s="12" t="s">
        <v>37</v>
      </c>
      <c r="G134" s="12" t="s">
        <v>40</v>
      </c>
      <c r="H134" s="12" t="s">
        <v>229</v>
      </c>
      <c r="I134" s="12" t="s">
        <v>38</v>
      </c>
      <c r="J134" s="12" t="s">
        <v>41</v>
      </c>
      <c r="K134" s="12" t="s">
        <v>215</v>
      </c>
    </row>
    <row r="135" ht="15.75" customHeight="1">
      <c r="A135" s="55" t="s">
        <v>130</v>
      </c>
      <c r="B135" s="55" t="s">
        <v>252</v>
      </c>
      <c r="C135" s="12" t="s">
        <v>33</v>
      </c>
      <c r="D135" s="12" t="s">
        <v>230</v>
      </c>
      <c r="E135" s="12" t="s">
        <v>53</v>
      </c>
      <c r="F135" s="12" t="s">
        <v>37</v>
      </c>
      <c r="G135" s="12" t="s">
        <v>40</v>
      </c>
      <c r="H135" s="12" t="s">
        <v>231</v>
      </c>
      <c r="I135" s="12" t="s">
        <v>48</v>
      </c>
      <c r="J135" s="12" t="s">
        <v>41</v>
      </c>
      <c r="K135" s="12" t="s">
        <v>215</v>
      </c>
    </row>
    <row r="136" ht="15.75" customHeight="1">
      <c r="A136" s="55" t="s">
        <v>130</v>
      </c>
      <c r="B136" s="55" t="s">
        <v>252</v>
      </c>
      <c r="C136" s="12" t="s">
        <v>259</v>
      </c>
      <c r="D136" s="12" t="s">
        <v>260</v>
      </c>
      <c r="E136" s="12" t="s">
        <v>137</v>
      </c>
      <c r="F136" s="12" t="s">
        <v>37</v>
      </c>
      <c r="G136" s="12" t="s">
        <v>40</v>
      </c>
      <c r="H136" s="12" t="s">
        <v>229</v>
      </c>
      <c r="I136" s="12" t="s">
        <v>38</v>
      </c>
      <c r="J136" s="12" t="s">
        <v>261</v>
      </c>
      <c r="K136" s="12" t="s">
        <v>215</v>
      </c>
    </row>
    <row r="137" ht="15.75" customHeight="1">
      <c r="A137" s="55" t="s">
        <v>130</v>
      </c>
      <c r="B137" s="55" t="s">
        <v>252</v>
      </c>
      <c r="C137" s="12" t="s">
        <v>233</v>
      </c>
      <c r="D137" s="12" t="s">
        <v>234</v>
      </c>
      <c r="E137" s="12" t="s">
        <v>156</v>
      </c>
      <c r="F137" s="12" t="s">
        <v>37</v>
      </c>
      <c r="G137" s="12" t="s">
        <v>40</v>
      </c>
      <c r="H137" s="12" t="s">
        <v>214</v>
      </c>
      <c r="I137" s="12" t="s">
        <v>40</v>
      </c>
      <c r="J137" s="12" t="s">
        <v>235</v>
      </c>
      <c r="K137" s="12" t="s">
        <v>215</v>
      </c>
    </row>
    <row r="138" ht="15.75" customHeight="1">
      <c r="A138" s="55" t="s">
        <v>130</v>
      </c>
      <c r="B138" s="55" t="s">
        <v>252</v>
      </c>
      <c r="C138" s="12" t="s">
        <v>203</v>
      </c>
      <c r="D138" s="12" t="s">
        <v>204</v>
      </c>
      <c r="E138" s="12" t="s">
        <v>205</v>
      </c>
      <c r="F138" s="12" t="s">
        <v>58</v>
      </c>
      <c r="G138" s="12" t="s">
        <v>40</v>
      </c>
      <c r="H138" s="12" t="s">
        <v>206</v>
      </c>
      <c r="I138" s="12" t="s">
        <v>48</v>
      </c>
      <c r="J138" s="12" t="s">
        <v>207</v>
      </c>
      <c r="K138" s="12" t="s">
        <v>215</v>
      </c>
    </row>
    <row r="139" ht="15.75" customHeight="1">
      <c r="A139" s="55" t="s">
        <v>130</v>
      </c>
      <c r="B139" s="55" t="s">
        <v>252</v>
      </c>
      <c r="C139" s="12" t="s">
        <v>262</v>
      </c>
      <c r="D139" s="12" t="s">
        <v>263</v>
      </c>
      <c r="E139" s="12" t="s">
        <v>156</v>
      </c>
      <c r="F139" s="12" t="s">
        <v>37</v>
      </c>
      <c r="G139" s="12" t="s">
        <v>40</v>
      </c>
      <c r="H139" s="12" t="s">
        <v>264</v>
      </c>
      <c r="I139" s="12" t="s">
        <v>40</v>
      </c>
      <c r="J139" s="12" t="s">
        <v>265</v>
      </c>
      <c r="K139" s="12" t="s">
        <v>215</v>
      </c>
    </row>
    <row r="140" ht="15.75" customHeight="1">
      <c r="A140" s="55" t="s">
        <v>130</v>
      </c>
      <c r="B140" s="55" t="s">
        <v>252</v>
      </c>
      <c r="C140" s="12" t="s">
        <v>209</v>
      </c>
      <c r="D140" s="12" t="s">
        <v>210</v>
      </c>
      <c r="E140" s="12" t="s">
        <v>57</v>
      </c>
      <c r="F140" s="12" t="s">
        <v>58</v>
      </c>
      <c r="G140" s="12" t="s">
        <v>40</v>
      </c>
      <c r="H140" s="12" t="s">
        <v>211</v>
      </c>
      <c r="I140" s="12" t="s">
        <v>48</v>
      </c>
      <c r="J140" s="12" t="s">
        <v>212</v>
      </c>
      <c r="K140" s="12" t="s">
        <v>215</v>
      </c>
    </row>
    <row r="141" ht="15.75" customHeight="1">
      <c r="A141" s="55" t="s">
        <v>130</v>
      </c>
      <c r="B141" s="55" t="s">
        <v>252</v>
      </c>
      <c r="C141" s="12" t="s">
        <v>154</v>
      </c>
      <c r="D141" s="12" t="s">
        <v>155</v>
      </c>
      <c r="E141" s="12" t="s">
        <v>156</v>
      </c>
      <c r="F141" s="12" t="s">
        <v>37</v>
      </c>
      <c r="G141" s="12" t="s">
        <v>40</v>
      </c>
      <c r="H141" s="12" t="s">
        <v>68</v>
      </c>
      <c r="I141" s="12" t="s">
        <v>40</v>
      </c>
      <c r="J141" s="12" t="s">
        <v>157</v>
      </c>
      <c r="K141" s="12" t="s">
        <v>215</v>
      </c>
    </row>
    <row r="142" ht="15.75" customHeight="1">
      <c r="A142" s="55" t="s">
        <v>130</v>
      </c>
      <c r="B142" s="55" t="s">
        <v>266</v>
      </c>
      <c r="C142" s="12" t="s">
        <v>33</v>
      </c>
      <c r="D142" s="12" t="s">
        <v>35</v>
      </c>
      <c r="E142" s="12" t="s">
        <v>36</v>
      </c>
      <c r="F142" s="12" t="s">
        <v>37</v>
      </c>
      <c r="G142" s="15" t="s">
        <v>38</v>
      </c>
      <c r="H142" s="12" t="s">
        <v>39</v>
      </c>
      <c r="I142" s="12" t="s">
        <v>40</v>
      </c>
      <c r="J142" s="12" t="s">
        <v>41</v>
      </c>
      <c r="K142" s="12" t="s">
        <v>208</v>
      </c>
    </row>
    <row r="143" ht="15.75" customHeight="1">
      <c r="A143" s="55" t="s">
        <v>130</v>
      </c>
      <c r="B143" s="55" t="s">
        <v>266</v>
      </c>
      <c r="C143" s="12" t="s">
        <v>33</v>
      </c>
      <c r="D143" s="12" t="s">
        <v>44</v>
      </c>
      <c r="E143" s="12" t="s">
        <v>45</v>
      </c>
      <c r="F143" s="12" t="s">
        <v>37</v>
      </c>
      <c r="G143" s="15" t="s">
        <v>38</v>
      </c>
      <c r="H143" s="12" t="s">
        <v>47</v>
      </c>
      <c r="I143" s="12" t="s">
        <v>48</v>
      </c>
      <c r="J143" s="12" t="s">
        <v>41</v>
      </c>
      <c r="K143" s="12" t="s">
        <v>208</v>
      </c>
    </row>
    <row r="144" ht="15.75" customHeight="1">
      <c r="A144" s="55" t="s">
        <v>130</v>
      </c>
      <c r="B144" s="55" t="s">
        <v>266</v>
      </c>
      <c r="C144" s="12" t="s">
        <v>33</v>
      </c>
      <c r="D144" s="12" t="s">
        <v>52</v>
      </c>
      <c r="E144" s="12" t="s">
        <v>53</v>
      </c>
      <c r="F144" s="12" t="s">
        <v>37</v>
      </c>
      <c r="G144" s="15" t="s">
        <v>38</v>
      </c>
      <c r="H144" s="12" t="s">
        <v>54</v>
      </c>
      <c r="I144" s="12" t="s">
        <v>48</v>
      </c>
      <c r="J144" s="12" t="s">
        <v>41</v>
      </c>
      <c r="K144" s="12" t="s">
        <v>208</v>
      </c>
    </row>
    <row r="145" ht="15.75" customHeight="1">
      <c r="A145" s="55" t="s">
        <v>130</v>
      </c>
      <c r="B145" s="55" t="s">
        <v>266</v>
      </c>
      <c r="C145" s="12" t="s">
        <v>55</v>
      </c>
      <c r="D145" s="12" t="s">
        <v>56</v>
      </c>
      <c r="E145" s="12" t="s">
        <v>57</v>
      </c>
      <c r="F145" s="12" t="s">
        <v>58</v>
      </c>
      <c r="G145" s="15" t="s">
        <v>38</v>
      </c>
      <c r="H145" s="12" t="s">
        <v>47</v>
      </c>
      <c r="I145" s="12" t="s">
        <v>48</v>
      </c>
      <c r="J145" s="12" t="s">
        <v>59</v>
      </c>
      <c r="K145" s="12" t="s">
        <v>208</v>
      </c>
    </row>
    <row r="146" ht="15.75" customHeight="1">
      <c r="A146" s="55" t="s">
        <v>130</v>
      </c>
      <c r="B146" s="55" t="s">
        <v>266</v>
      </c>
      <c r="C146" s="12" t="s">
        <v>256</v>
      </c>
      <c r="D146" s="12" t="s">
        <v>257</v>
      </c>
      <c r="E146" s="12" t="s">
        <v>57</v>
      </c>
      <c r="F146" s="12" t="s">
        <v>58</v>
      </c>
      <c r="G146" s="15" t="s">
        <v>38</v>
      </c>
      <c r="H146" s="12" t="s">
        <v>211</v>
      </c>
      <c r="I146" s="12" t="s">
        <v>48</v>
      </c>
      <c r="J146" s="12" t="s">
        <v>258</v>
      </c>
      <c r="K146" s="12" t="s">
        <v>208</v>
      </c>
    </row>
    <row r="147" ht="15.75" customHeight="1">
      <c r="A147" s="55" t="s">
        <v>130</v>
      </c>
      <c r="B147" s="55" t="s">
        <v>266</v>
      </c>
      <c r="C147" s="12" t="s">
        <v>33</v>
      </c>
      <c r="D147" s="12" t="s">
        <v>213</v>
      </c>
      <c r="E147" s="12" t="s">
        <v>45</v>
      </c>
      <c r="F147" s="12" t="s">
        <v>37</v>
      </c>
      <c r="G147" s="12" t="s">
        <v>40</v>
      </c>
      <c r="H147" s="12" t="s">
        <v>214</v>
      </c>
      <c r="I147" s="12" t="s">
        <v>48</v>
      </c>
      <c r="J147" s="12"/>
      <c r="K147" s="12" t="s">
        <v>215</v>
      </c>
    </row>
    <row r="148" ht="15.75" customHeight="1">
      <c r="A148" s="55" t="s">
        <v>130</v>
      </c>
      <c r="B148" s="55" t="s">
        <v>266</v>
      </c>
      <c r="C148" s="12" t="s">
        <v>33</v>
      </c>
      <c r="D148" s="12" t="s">
        <v>216</v>
      </c>
      <c r="E148" s="12" t="s">
        <v>45</v>
      </c>
      <c r="F148" s="12" t="s">
        <v>37</v>
      </c>
      <c r="G148" s="12" t="s">
        <v>40</v>
      </c>
      <c r="H148" s="12" t="s">
        <v>214</v>
      </c>
      <c r="I148" s="12" t="s">
        <v>48</v>
      </c>
      <c r="J148" s="12" t="s">
        <v>41</v>
      </c>
      <c r="K148" s="12" t="s">
        <v>215</v>
      </c>
    </row>
    <row r="149" ht="15.75" customHeight="1">
      <c r="A149" s="55" t="s">
        <v>130</v>
      </c>
      <c r="B149" s="55" t="s">
        <v>266</v>
      </c>
      <c r="C149" s="12" t="s">
        <v>33</v>
      </c>
      <c r="D149" s="12" t="s">
        <v>218</v>
      </c>
      <c r="E149" s="12" t="s">
        <v>219</v>
      </c>
      <c r="F149" s="12" t="s">
        <v>37</v>
      </c>
      <c r="G149" s="12" t="s">
        <v>40</v>
      </c>
      <c r="H149" s="12" t="s">
        <v>229</v>
      </c>
      <c r="I149" s="12" t="s">
        <v>38</v>
      </c>
      <c r="J149" s="12" t="s">
        <v>41</v>
      </c>
      <c r="K149" s="12" t="s">
        <v>215</v>
      </c>
    </row>
    <row r="150" ht="15.75" customHeight="1">
      <c r="A150" s="55" t="s">
        <v>130</v>
      </c>
      <c r="B150" s="55" t="s">
        <v>266</v>
      </c>
      <c r="C150" s="12" t="s">
        <v>33</v>
      </c>
      <c r="D150" s="12" t="s">
        <v>230</v>
      </c>
      <c r="E150" s="12" t="s">
        <v>53</v>
      </c>
      <c r="F150" s="12" t="s">
        <v>37</v>
      </c>
      <c r="G150" s="12" t="s">
        <v>40</v>
      </c>
      <c r="H150" s="12" t="s">
        <v>231</v>
      </c>
      <c r="I150" s="12" t="s">
        <v>48</v>
      </c>
      <c r="J150" s="12" t="s">
        <v>41</v>
      </c>
      <c r="K150" s="12" t="s">
        <v>215</v>
      </c>
    </row>
    <row r="151" ht="15.75" customHeight="1">
      <c r="A151" s="55" t="s">
        <v>130</v>
      </c>
      <c r="B151" s="55" t="s">
        <v>266</v>
      </c>
      <c r="C151" s="12" t="s">
        <v>259</v>
      </c>
      <c r="D151" s="12" t="s">
        <v>260</v>
      </c>
      <c r="E151" s="12" t="s">
        <v>137</v>
      </c>
      <c r="F151" s="12" t="s">
        <v>37</v>
      </c>
      <c r="G151" s="12" t="s">
        <v>40</v>
      </c>
      <c r="H151" s="12" t="s">
        <v>229</v>
      </c>
      <c r="I151" s="12" t="s">
        <v>38</v>
      </c>
      <c r="J151" s="12" t="s">
        <v>261</v>
      </c>
      <c r="K151" s="12" t="s">
        <v>215</v>
      </c>
    </row>
    <row r="152" ht="15.75" customHeight="1">
      <c r="A152" s="55" t="s">
        <v>130</v>
      </c>
      <c r="B152" s="55" t="s">
        <v>266</v>
      </c>
      <c r="C152" s="12" t="s">
        <v>233</v>
      </c>
      <c r="D152" s="12" t="s">
        <v>234</v>
      </c>
      <c r="E152" s="12" t="s">
        <v>156</v>
      </c>
      <c r="F152" s="12" t="s">
        <v>37</v>
      </c>
      <c r="G152" s="12" t="s">
        <v>40</v>
      </c>
      <c r="H152" s="12" t="s">
        <v>214</v>
      </c>
      <c r="I152" s="12" t="s">
        <v>40</v>
      </c>
      <c r="J152" s="12" t="s">
        <v>235</v>
      </c>
      <c r="K152" s="12" t="s">
        <v>215</v>
      </c>
    </row>
    <row r="153" ht="15.75" customHeight="1">
      <c r="A153" s="55" t="s">
        <v>130</v>
      </c>
      <c r="B153" s="55" t="s">
        <v>266</v>
      </c>
      <c r="C153" s="12" t="s">
        <v>203</v>
      </c>
      <c r="D153" s="12" t="s">
        <v>204</v>
      </c>
      <c r="E153" s="12" t="s">
        <v>205</v>
      </c>
      <c r="F153" s="12" t="s">
        <v>58</v>
      </c>
      <c r="G153" s="12" t="s">
        <v>40</v>
      </c>
      <c r="H153" s="12" t="s">
        <v>206</v>
      </c>
      <c r="I153" s="12" t="s">
        <v>48</v>
      </c>
      <c r="J153" s="12" t="s">
        <v>207</v>
      </c>
      <c r="K153" s="12" t="s">
        <v>215</v>
      </c>
    </row>
    <row r="154" ht="15.75" customHeight="1">
      <c r="A154" s="55" t="s">
        <v>130</v>
      </c>
      <c r="B154" s="55" t="s">
        <v>266</v>
      </c>
      <c r="C154" s="12" t="s">
        <v>262</v>
      </c>
      <c r="D154" s="12" t="s">
        <v>263</v>
      </c>
      <c r="E154" s="12" t="s">
        <v>156</v>
      </c>
      <c r="F154" s="12" t="s">
        <v>37</v>
      </c>
      <c r="G154" s="12" t="s">
        <v>40</v>
      </c>
      <c r="H154" s="12" t="s">
        <v>264</v>
      </c>
      <c r="I154" s="12" t="s">
        <v>40</v>
      </c>
      <c r="J154" s="12" t="s">
        <v>265</v>
      </c>
      <c r="K154" s="12" t="s">
        <v>215</v>
      </c>
    </row>
    <row r="155" ht="15.75" customHeight="1">
      <c r="A155" s="55" t="s">
        <v>130</v>
      </c>
      <c r="B155" s="55" t="s">
        <v>266</v>
      </c>
      <c r="C155" s="12" t="s">
        <v>209</v>
      </c>
      <c r="D155" s="12" t="s">
        <v>210</v>
      </c>
      <c r="E155" s="12" t="s">
        <v>57</v>
      </c>
      <c r="F155" s="12" t="s">
        <v>58</v>
      </c>
      <c r="G155" s="12" t="s">
        <v>40</v>
      </c>
      <c r="H155" s="12" t="s">
        <v>211</v>
      </c>
      <c r="I155" s="12" t="s">
        <v>48</v>
      </c>
      <c r="J155" s="12" t="s">
        <v>212</v>
      </c>
      <c r="K155" s="12" t="s">
        <v>215</v>
      </c>
    </row>
    <row r="156" ht="15.75" customHeight="1">
      <c r="A156" s="55" t="s">
        <v>130</v>
      </c>
      <c r="B156" s="55" t="s">
        <v>266</v>
      </c>
      <c r="C156" s="12" t="s">
        <v>154</v>
      </c>
      <c r="D156" s="12" t="s">
        <v>155</v>
      </c>
      <c r="E156" s="12" t="s">
        <v>156</v>
      </c>
      <c r="F156" s="12" t="s">
        <v>37</v>
      </c>
      <c r="G156" s="12" t="s">
        <v>40</v>
      </c>
      <c r="H156" s="12" t="s">
        <v>68</v>
      </c>
      <c r="I156" s="12" t="s">
        <v>40</v>
      </c>
      <c r="J156" s="12" t="s">
        <v>157</v>
      </c>
      <c r="K156" s="12" t="s">
        <v>215</v>
      </c>
    </row>
    <row r="157" ht="15.75" customHeight="1">
      <c r="A157" s="55" t="s">
        <v>130</v>
      </c>
      <c r="B157" s="55" t="s">
        <v>270</v>
      </c>
      <c r="C157" s="12" t="s">
        <v>33</v>
      </c>
      <c r="D157" s="12" t="s">
        <v>35</v>
      </c>
      <c r="E157" s="12" t="s">
        <v>36</v>
      </c>
      <c r="F157" s="12" t="s">
        <v>37</v>
      </c>
      <c r="G157" s="15" t="s">
        <v>38</v>
      </c>
      <c r="H157" s="12" t="s">
        <v>39</v>
      </c>
      <c r="I157" s="12" t="s">
        <v>40</v>
      </c>
      <c r="J157" s="12" t="s">
        <v>41</v>
      </c>
      <c r="K157" s="12" t="s">
        <v>208</v>
      </c>
    </row>
    <row r="158" ht="15.75" customHeight="1">
      <c r="A158" s="55" t="s">
        <v>130</v>
      </c>
      <c r="B158" s="55" t="s">
        <v>270</v>
      </c>
      <c r="C158" s="12" t="s">
        <v>33</v>
      </c>
      <c r="D158" s="12" t="s">
        <v>44</v>
      </c>
      <c r="E158" s="12" t="s">
        <v>45</v>
      </c>
      <c r="F158" s="12" t="s">
        <v>37</v>
      </c>
      <c r="G158" s="15" t="s">
        <v>38</v>
      </c>
      <c r="H158" s="12" t="s">
        <v>47</v>
      </c>
      <c r="I158" s="12" t="s">
        <v>48</v>
      </c>
      <c r="J158" s="12" t="s">
        <v>41</v>
      </c>
      <c r="K158" s="12" t="s">
        <v>208</v>
      </c>
    </row>
    <row r="159" ht="15.75" customHeight="1">
      <c r="A159" s="55" t="s">
        <v>130</v>
      </c>
      <c r="B159" s="55" t="s">
        <v>270</v>
      </c>
      <c r="C159" s="12" t="s">
        <v>33</v>
      </c>
      <c r="D159" s="12" t="s">
        <v>52</v>
      </c>
      <c r="E159" s="12" t="s">
        <v>53</v>
      </c>
      <c r="F159" s="12" t="s">
        <v>37</v>
      </c>
      <c r="G159" s="15" t="s">
        <v>38</v>
      </c>
      <c r="H159" s="12" t="s">
        <v>54</v>
      </c>
      <c r="I159" s="12" t="s">
        <v>48</v>
      </c>
      <c r="J159" s="12" t="s">
        <v>41</v>
      </c>
      <c r="K159" s="12" t="s">
        <v>208</v>
      </c>
    </row>
    <row r="160" ht="15.75" customHeight="1">
      <c r="A160" s="55" t="s">
        <v>130</v>
      </c>
      <c r="B160" s="55" t="s">
        <v>270</v>
      </c>
      <c r="C160" s="12" t="s">
        <v>55</v>
      </c>
      <c r="D160" s="12" t="s">
        <v>56</v>
      </c>
      <c r="E160" s="12" t="s">
        <v>57</v>
      </c>
      <c r="F160" s="12" t="s">
        <v>58</v>
      </c>
      <c r="G160" s="15" t="s">
        <v>38</v>
      </c>
      <c r="H160" s="12" t="s">
        <v>47</v>
      </c>
      <c r="I160" s="12" t="s">
        <v>48</v>
      </c>
      <c r="J160" s="12" t="s">
        <v>59</v>
      </c>
      <c r="K160" s="12" t="s">
        <v>208</v>
      </c>
    </row>
    <row r="161" ht="15.75" customHeight="1">
      <c r="A161" s="55" t="s">
        <v>130</v>
      </c>
      <c r="B161" s="55" t="s">
        <v>270</v>
      </c>
      <c r="C161" s="12" t="s">
        <v>256</v>
      </c>
      <c r="D161" s="12" t="s">
        <v>257</v>
      </c>
      <c r="E161" s="12" t="s">
        <v>57</v>
      </c>
      <c r="F161" s="12" t="s">
        <v>58</v>
      </c>
      <c r="G161" s="15" t="s">
        <v>38</v>
      </c>
      <c r="H161" s="12" t="s">
        <v>211</v>
      </c>
      <c r="I161" s="12" t="s">
        <v>48</v>
      </c>
      <c r="J161" s="12" t="s">
        <v>258</v>
      </c>
      <c r="K161" s="12" t="s">
        <v>208</v>
      </c>
    </row>
    <row r="162" ht="15.75" customHeight="1">
      <c r="A162" s="55" t="s">
        <v>130</v>
      </c>
      <c r="B162" s="55" t="s">
        <v>270</v>
      </c>
      <c r="C162" s="12" t="s">
        <v>33</v>
      </c>
      <c r="D162" s="12" t="s">
        <v>213</v>
      </c>
      <c r="E162" s="12" t="s">
        <v>45</v>
      </c>
      <c r="F162" s="12" t="s">
        <v>37</v>
      </c>
      <c r="G162" s="12" t="s">
        <v>40</v>
      </c>
      <c r="H162" s="12" t="s">
        <v>214</v>
      </c>
      <c r="I162" s="12" t="s">
        <v>48</v>
      </c>
      <c r="J162" s="12"/>
      <c r="K162" s="12" t="s">
        <v>215</v>
      </c>
    </row>
    <row r="163" ht="15.75" customHeight="1">
      <c r="A163" s="55" t="s">
        <v>130</v>
      </c>
      <c r="B163" s="55" t="s">
        <v>270</v>
      </c>
      <c r="C163" s="12" t="s">
        <v>33</v>
      </c>
      <c r="D163" s="12" t="s">
        <v>216</v>
      </c>
      <c r="E163" s="12" t="s">
        <v>45</v>
      </c>
      <c r="F163" s="12" t="s">
        <v>37</v>
      </c>
      <c r="G163" s="12" t="s">
        <v>40</v>
      </c>
      <c r="H163" s="12" t="s">
        <v>214</v>
      </c>
      <c r="I163" s="12" t="s">
        <v>48</v>
      </c>
      <c r="J163" s="12" t="s">
        <v>41</v>
      </c>
      <c r="K163" s="12" t="s">
        <v>215</v>
      </c>
    </row>
    <row r="164" ht="15.75" customHeight="1">
      <c r="A164" s="55" t="s">
        <v>130</v>
      </c>
      <c r="B164" s="55" t="s">
        <v>270</v>
      </c>
      <c r="C164" s="12" t="s">
        <v>33</v>
      </c>
      <c r="D164" s="12" t="s">
        <v>218</v>
      </c>
      <c r="E164" s="12" t="s">
        <v>219</v>
      </c>
      <c r="F164" s="12" t="s">
        <v>37</v>
      </c>
      <c r="G164" s="12" t="s">
        <v>40</v>
      </c>
      <c r="H164" s="12" t="s">
        <v>229</v>
      </c>
      <c r="I164" s="12" t="s">
        <v>38</v>
      </c>
      <c r="J164" s="12" t="s">
        <v>41</v>
      </c>
      <c r="K164" s="12" t="s">
        <v>215</v>
      </c>
    </row>
    <row r="165" ht="15.75" customHeight="1">
      <c r="A165" s="55" t="s">
        <v>130</v>
      </c>
      <c r="B165" s="55" t="s">
        <v>270</v>
      </c>
      <c r="C165" s="12" t="s">
        <v>33</v>
      </c>
      <c r="D165" s="12" t="s">
        <v>230</v>
      </c>
      <c r="E165" s="12" t="s">
        <v>53</v>
      </c>
      <c r="F165" s="12" t="s">
        <v>37</v>
      </c>
      <c r="G165" s="12" t="s">
        <v>40</v>
      </c>
      <c r="H165" s="12" t="s">
        <v>231</v>
      </c>
      <c r="I165" s="12" t="s">
        <v>48</v>
      </c>
      <c r="J165" s="12" t="s">
        <v>41</v>
      </c>
      <c r="K165" s="12" t="s">
        <v>215</v>
      </c>
    </row>
    <row r="166" ht="15.75" customHeight="1">
      <c r="A166" s="55" t="s">
        <v>130</v>
      </c>
      <c r="B166" s="55" t="s">
        <v>270</v>
      </c>
      <c r="C166" s="12" t="s">
        <v>259</v>
      </c>
      <c r="D166" s="12" t="s">
        <v>260</v>
      </c>
      <c r="E166" s="12" t="s">
        <v>137</v>
      </c>
      <c r="F166" s="12" t="s">
        <v>37</v>
      </c>
      <c r="G166" s="12" t="s">
        <v>40</v>
      </c>
      <c r="H166" s="12" t="s">
        <v>229</v>
      </c>
      <c r="I166" s="12" t="s">
        <v>38</v>
      </c>
      <c r="J166" s="12" t="s">
        <v>261</v>
      </c>
      <c r="K166" s="12" t="s">
        <v>215</v>
      </c>
    </row>
    <row r="167" ht="15.75" customHeight="1">
      <c r="A167" s="55" t="s">
        <v>130</v>
      </c>
      <c r="B167" s="55" t="s">
        <v>270</v>
      </c>
      <c r="C167" s="12" t="s">
        <v>233</v>
      </c>
      <c r="D167" s="12" t="s">
        <v>234</v>
      </c>
      <c r="E167" s="12" t="s">
        <v>156</v>
      </c>
      <c r="F167" s="12" t="s">
        <v>37</v>
      </c>
      <c r="G167" s="12" t="s">
        <v>40</v>
      </c>
      <c r="H167" s="12" t="s">
        <v>214</v>
      </c>
      <c r="I167" s="12" t="s">
        <v>40</v>
      </c>
      <c r="J167" s="12" t="s">
        <v>235</v>
      </c>
      <c r="K167" s="12" t="s">
        <v>215</v>
      </c>
    </row>
    <row r="168" ht="15.75" customHeight="1">
      <c r="A168" s="55" t="s">
        <v>130</v>
      </c>
      <c r="B168" s="55" t="s">
        <v>270</v>
      </c>
      <c r="C168" s="12" t="s">
        <v>203</v>
      </c>
      <c r="D168" s="12" t="s">
        <v>204</v>
      </c>
      <c r="E168" s="12" t="s">
        <v>205</v>
      </c>
      <c r="F168" s="12" t="s">
        <v>58</v>
      </c>
      <c r="G168" s="12" t="s">
        <v>40</v>
      </c>
      <c r="H168" s="12" t="s">
        <v>206</v>
      </c>
      <c r="I168" s="12" t="s">
        <v>48</v>
      </c>
      <c r="J168" s="12" t="s">
        <v>207</v>
      </c>
      <c r="K168" s="12" t="s">
        <v>215</v>
      </c>
    </row>
    <row r="169" ht="15.75" customHeight="1">
      <c r="A169" s="55" t="s">
        <v>130</v>
      </c>
      <c r="B169" s="55" t="s">
        <v>270</v>
      </c>
      <c r="C169" s="12" t="s">
        <v>262</v>
      </c>
      <c r="D169" s="12" t="s">
        <v>263</v>
      </c>
      <c r="E169" s="12" t="s">
        <v>156</v>
      </c>
      <c r="F169" s="12" t="s">
        <v>37</v>
      </c>
      <c r="G169" s="12" t="s">
        <v>40</v>
      </c>
      <c r="H169" s="12" t="s">
        <v>264</v>
      </c>
      <c r="I169" s="12" t="s">
        <v>40</v>
      </c>
      <c r="J169" s="12" t="s">
        <v>265</v>
      </c>
      <c r="K169" s="12" t="s">
        <v>215</v>
      </c>
    </row>
    <row r="170" ht="15.75" customHeight="1">
      <c r="A170" s="55" t="s">
        <v>130</v>
      </c>
      <c r="B170" s="55" t="s">
        <v>270</v>
      </c>
      <c r="C170" s="12" t="s">
        <v>209</v>
      </c>
      <c r="D170" s="12" t="s">
        <v>210</v>
      </c>
      <c r="E170" s="12" t="s">
        <v>57</v>
      </c>
      <c r="F170" s="12" t="s">
        <v>58</v>
      </c>
      <c r="G170" s="12" t="s">
        <v>40</v>
      </c>
      <c r="H170" s="12" t="s">
        <v>211</v>
      </c>
      <c r="I170" s="12" t="s">
        <v>48</v>
      </c>
      <c r="J170" s="12" t="s">
        <v>212</v>
      </c>
      <c r="K170" s="12" t="s">
        <v>215</v>
      </c>
    </row>
    <row r="171" ht="15.75" customHeight="1">
      <c r="A171" s="55" t="s">
        <v>130</v>
      </c>
      <c r="B171" s="55" t="s">
        <v>270</v>
      </c>
      <c r="C171" s="12" t="s">
        <v>154</v>
      </c>
      <c r="D171" s="12" t="s">
        <v>155</v>
      </c>
      <c r="E171" s="12" t="s">
        <v>156</v>
      </c>
      <c r="F171" s="12" t="s">
        <v>37</v>
      </c>
      <c r="G171" s="12" t="s">
        <v>40</v>
      </c>
      <c r="H171" s="12" t="s">
        <v>68</v>
      </c>
      <c r="I171" s="12" t="s">
        <v>40</v>
      </c>
      <c r="J171" s="12" t="s">
        <v>157</v>
      </c>
      <c r="K171" s="12" t="s">
        <v>215</v>
      </c>
    </row>
    <row r="172" ht="15.75" customHeight="1">
      <c r="A172" s="55" t="s">
        <v>130</v>
      </c>
      <c r="B172" s="55" t="s">
        <v>274</v>
      </c>
      <c r="C172" s="12" t="s">
        <v>33</v>
      </c>
      <c r="D172" s="12" t="s">
        <v>35</v>
      </c>
      <c r="E172" s="12" t="s">
        <v>36</v>
      </c>
      <c r="F172" s="12" t="s">
        <v>37</v>
      </c>
      <c r="G172" s="15" t="s">
        <v>38</v>
      </c>
      <c r="H172" s="12" t="s">
        <v>39</v>
      </c>
      <c r="I172" s="12" t="s">
        <v>40</v>
      </c>
      <c r="J172" s="12" t="s">
        <v>41</v>
      </c>
      <c r="K172" s="12" t="s">
        <v>208</v>
      </c>
    </row>
    <row r="173" ht="15.75" customHeight="1">
      <c r="A173" s="55" t="s">
        <v>130</v>
      </c>
      <c r="B173" s="55" t="s">
        <v>274</v>
      </c>
      <c r="C173" s="12" t="s">
        <v>33</v>
      </c>
      <c r="D173" s="12" t="s">
        <v>44</v>
      </c>
      <c r="E173" s="12" t="s">
        <v>45</v>
      </c>
      <c r="F173" s="12" t="s">
        <v>37</v>
      </c>
      <c r="G173" s="15" t="s">
        <v>38</v>
      </c>
      <c r="H173" s="12" t="s">
        <v>47</v>
      </c>
      <c r="I173" s="12" t="s">
        <v>48</v>
      </c>
      <c r="J173" s="12" t="s">
        <v>41</v>
      </c>
      <c r="K173" s="12" t="s">
        <v>208</v>
      </c>
    </row>
    <row r="174" ht="15.75" customHeight="1">
      <c r="A174" s="55" t="s">
        <v>130</v>
      </c>
      <c r="B174" s="55" t="s">
        <v>274</v>
      </c>
      <c r="C174" s="12" t="s">
        <v>33</v>
      </c>
      <c r="D174" s="12" t="s">
        <v>52</v>
      </c>
      <c r="E174" s="12" t="s">
        <v>53</v>
      </c>
      <c r="F174" s="12" t="s">
        <v>37</v>
      </c>
      <c r="G174" s="15" t="s">
        <v>38</v>
      </c>
      <c r="H174" s="12" t="s">
        <v>54</v>
      </c>
      <c r="I174" s="12" t="s">
        <v>48</v>
      </c>
      <c r="J174" s="12" t="s">
        <v>41</v>
      </c>
      <c r="K174" s="12" t="s">
        <v>208</v>
      </c>
    </row>
    <row r="175" ht="15.75" customHeight="1">
      <c r="A175" s="55" t="s">
        <v>130</v>
      </c>
      <c r="B175" s="55" t="s">
        <v>274</v>
      </c>
      <c r="C175" s="12" t="s">
        <v>55</v>
      </c>
      <c r="D175" s="12" t="s">
        <v>56</v>
      </c>
      <c r="E175" s="12" t="s">
        <v>57</v>
      </c>
      <c r="F175" s="12" t="s">
        <v>58</v>
      </c>
      <c r="G175" s="15" t="s">
        <v>38</v>
      </c>
      <c r="H175" s="12" t="s">
        <v>47</v>
      </c>
      <c r="I175" s="12" t="s">
        <v>48</v>
      </c>
      <c r="J175" s="12" t="s">
        <v>59</v>
      </c>
      <c r="K175" s="12" t="s">
        <v>208</v>
      </c>
    </row>
    <row r="176" ht="15.75" customHeight="1">
      <c r="A176" s="55" t="s">
        <v>130</v>
      </c>
      <c r="B176" s="55" t="s">
        <v>274</v>
      </c>
      <c r="C176" s="12" t="s">
        <v>256</v>
      </c>
      <c r="D176" s="12" t="s">
        <v>257</v>
      </c>
      <c r="E176" s="12" t="s">
        <v>57</v>
      </c>
      <c r="F176" s="12" t="s">
        <v>58</v>
      </c>
      <c r="G176" s="15" t="s">
        <v>38</v>
      </c>
      <c r="H176" s="12" t="s">
        <v>211</v>
      </c>
      <c r="I176" s="12" t="s">
        <v>48</v>
      </c>
      <c r="J176" s="12" t="s">
        <v>258</v>
      </c>
      <c r="K176" s="12" t="s">
        <v>208</v>
      </c>
    </row>
    <row r="177" ht="15.75" customHeight="1">
      <c r="A177" s="55" t="s">
        <v>130</v>
      </c>
      <c r="B177" s="55" t="s">
        <v>274</v>
      </c>
      <c r="C177" s="12" t="s">
        <v>33</v>
      </c>
      <c r="D177" s="12" t="s">
        <v>213</v>
      </c>
      <c r="E177" s="12" t="s">
        <v>45</v>
      </c>
      <c r="F177" s="12" t="s">
        <v>37</v>
      </c>
      <c r="G177" s="12" t="s">
        <v>40</v>
      </c>
      <c r="H177" s="12" t="s">
        <v>214</v>
      </c>
      <c r="I177" s="12" t="s">
        <v>48</v>
      </c>
      <c r="J177" s="12"/>
      <c r="K177" s="12" t="s">
        <v>215</v>
      </c>
    </row>
    <row r="178" ht="15.75" customHeight="1">
      <c r="A178" s="55" t="s">
        <v>130</v>
      </c>
      <c r="B178" s="55" t="s">
        <v>274</v>
      </c>
      <c r="C178" s="12" t="s">
        <v>33</v>
      </c>
      <c r="D178" s="12" t="s">
        <v>216</v>
      </c>
      <c r="E178" s="12" t="s">
        <v>45</v>
      </c>
      <c r="F178" s="12" t="s">
        <v>37</v>
      </c>
      <c r="G178" s="12" t="s">
        <v>40</v>
      </c>
      <c r="H178" s="12" t="s">
        <v>214</v>
      </c>
      <c r="I178" s="12" t="s">
        <v>48</v>
      </c>
      <c r="J178" s="12" t="s">
        <v>41</v>
      </c>
      <c r="K178" s="12" t="s">
        <v>215</v>
      </c>
    </row>
    <row r="179" ht="15.75" customHeight="1">
      <c r="A179" s="55" t="s">
        <v>130</v>
      </c>
      <c r="B179" s="55" t="s">
        <v>274</v>
      </c>
      <c r="C179" s="12" t="s">
        <v>33</v>
      </c>
      <c r="D179" s="12" t="s">
        <v>218</v>
      </c>
      <c r="E179" s="12" t="s">
        <v>219</v>
      </c>
      <c r="F179" s="12" t="s">
        <v>37</v>
      </c>
      <c r="G179" s="12" t="s">
        <v>40</v>
      </c>
      <c r="H179" s="12" t="s">
        <v>229</v>
      </c>
      <c r="I179" s="12" t="s">
        <v>38</v>
      </c>
      <c r="J179" s="12" t="s">
        <v>41</v>
      </c>
      <c r="K179" s="12" t="s">
        <v>215</v>
      </c>
    </row>
    <row r="180" ht="15.75" customHeight="1">
      <c r="A180" s="55" t="s">
        <v>130</v>
      </c>
      <c r="B180" s="55" t="s">
        <v>274</v>
      </c>
      <c r="C180" s="12" t="s">
        <v>33</v>
      </c>
      <c r="D180" s="12" t="s">
        <v>230</v>
      </c>
      <c r="E180" s="12" t="s">
        <v>53</v>
      </c>
      <c r="F180" s="12" t="s">
        <v>37</v>
      </c>
      <c r="G180" s="12" t="s">
        <v>40</v>
      </c>
      <c r="H180" s="12" t="s">
        <v>231</v>
      </c>
      <c r="I180" s="12" t="s">
        <v>48</v>
      </c>
      <c r="J180" s="12" t="s">
        <v>41</v>
      </c>
      <c r="K180" s="12" t="s">
        <v>215</v>
      </c>
    </row>
    <row r="181" ht="15.75" customHeight="1">
      <c r="A181" s="55" t="s">
        <v>130</v>
      </c>
      <c r="B181" s="55" t="s">
        <v>274</v>
      </c>
      <c r="C181" s="12" t="s">
        <v>259</v>
      </c>
      <c r="D181" s="12" t="s">
        <v>260</v>
      </c>
      <c r="E181" s="12" t="s">
        <v>137</v>
      </c>
      <c r="F181" s="12" t="s">
        <v>37</v>
      </c>
      <c r="G181" s="12" t="s">
        <v>40</v>
      </c>
      <c r="H181" s="12" t="s">
        <v>229</v>
      </c>
      <c r="I181" s="12" t="s">
        <v>38</v>
      </c>
      <c r="J181" s="12" t="s">
        <v>261</v>
      </c>
      <c r="K181" s="12" t="s">
        <v>215</v>
      </c>
    </row>
    <row r="182" ht="15.75" customHeight="1">
      <c r="A182" s="55" t="s">
        <v>130</v>
      </c>
      <c r="B182" s="55" t="s">
        <v>274</v>
      </c>
      <c r="C182" s="12" t="s">
        <v>233</v>
      </c>
      <c r="D182" s="12" t="s">
        <v>234</v>
      </c>
      <c r="E182" s="12" t="s">
        <v>156</v>
      </c>
      <c r="F182" s="12" t="s">
        <v>37</v>
      </c>
      <c r="G182" s="12" t="s">
        <v>40</v>
      </c>
      <c r="H182" s="12" t="s">
        <v>214</v>
      </c>
      <c r="I182" s="12" t="s">
        <v>40</v>
      </c>
      <c r="J182" s="12" t="s">
        <v>235</v>
      </c>
      <c r="K182" s="12" t="s">
        <v>215</v>
      </c>
    </row>
    <row r="183" ht="15.75" customHeight="1">
      <c r="A183" s="55" t="s">
        <v>130</v>
      </c>
      <c r="B183" s="55" t="s">
        <v>274</v>
      </c>
      <c r="C183" s="12" t="s">
        <v>203</v>
      </c>
      <c r="D183" s="12" t="s">
        <v>204</v>
      </c>
      <c r="E183" s="12" t="s">
        <v>205</v>
      </c>
      <c r="F183" s="12" t="s">
        <v>58</v>
      </c>
      <c r="G183" s="12" t="s">
        <v>40</v>
      </c>
      <c r="H183" s="12" t="s">
        <v>206</v>
      </c>
      <c r="I183" s="12" t="s">
        <v>48</v>
      </c>
      <c r="J183" s="12" t="s">
        <v>207</v>
      </c>
      <c r="K183" s="12" t="s">
        <v>215</v>
      </c>
    </row>
    <row r="184" ht="15.75" customHeight="1">
      <c r="A184" s="55" t="s">
        <v>130</v>
      </c>
      <c r="B184" s="55" t="s">
        <v>274</v>
      </c>
      <c r="C184" s="12" t="s">
        <v>262</v>
      </c>
      <c r="D184" s="12" t="s">
        <v>263</v>
      </c>
      <c r="E184" s="12" t="s">
        <v>156</v>
      </c>
      <c r="F184" s="12" t="s">
        <v>37</v>
      </c>
      <c r="G184" s="12" t="s">
        <v>40</v>
      </c>
      <c r="H184" s="12" t="s">
        <v>264</v>
      </c>
      <c r="I184" s="12" t="s">
        <v>40</v>
      </c>
      <c r="J184" s="12" t="s">
        <v>265</v>
      </c>
      <c r="K184" s="12" t="s">
        <v>215</v>
      </c>
    </row>
    <row r="185" ht="15.75" customHeight="1">
      <c r="A185" s="55" t="s">
        <v>130</v>
      </c>
      <c r="B185" s="55" t="s">
        <v>274</v>
      </c>
      <c r="C185" s="12" t="s">
        <v>209</v>
      </c>
      <c r="D185" s="12" t="s">
        <v>210</v>
      </c>
      <c r="E185" s="12" t="s">
        <v>57</v>
      </c>
      <c r="F185" s="12" t="s">
        <v>58</v>
      </c>
      <c r="G185" s="12" t="s">
        <v>40</v>
      </c>
      <c r="H185" s="12" t="s">
        <v>211</v>
      </c>
      <c r="I185" s="12" t="s">
        <v>48</v>
      </c>
      <c r="J185" s="12" t="s">
        <v>212</v>
      </c>
      <c r="K185" s="12" t="s">
        <v>215</v>
      </c>
    </row>
    <row r="186" ht="15.75" customHeight="1">
      <c r="A186" s="55" t="s">
        <v>130</v>
      </c>
      <c r="B186" s="55" t="s">
        <v>274</v>
      </c>
      <c r="C186" s="12" t="s">
        <v>154</v>
      </c>
      <c r="D186" s="12" t="s">
        <v>155</v>
      </c>
      <c r="E186" s="12" t="s">
        <v>156</v>
      </c>
      <c r="F186" s="12" t="s">
        <v>37</v>
      </c>
      <c r="G186" s="12" t="s">
        <v>40</v>
      </c>
      <c r="H186" s="12" t="s">
        <v>68</v>
      </c>
      <c r="I186" s="12" t="s">
        <v>40</v>
      </c>
      <c r="J186" s="12" t="s">
        <v>157</v>
      </c>
      <c r="K186" s="12" t="s">
        <v>215</v>
      </c>
    </row>
    <row r="187" ht="15.75" customHeight="1">
      <c r="A187" s="55" t="s">
        <v>130</v>
      </c>
      <c r="B187" s="55" t="s">
        <v>275</v>
      </c>
      <c r="C187" s="12" t="s">
        <v>33</v>
      </c>
      <c r="D187" s="12" t="s">
        <v>35</v>
      </c>
      <c r="E187" s="12" t="s">
        <v>36</v>
      </c>
      <c r="F187" s="12" t="s">
        <v>37</v>
      </c>
      <c r="G187" s="15" t="s">
        <v>38</v>
      </c>
      <c r="H187" s="12" t="s">
        <v>39</v>
      </c>
      <c r="I187" s="12" t="s">
        <v>40</v>
      </c>
      <c r="J187" s="12" t="s">
        <v>41</v>
      </c>
      <c r="K187" s="12" t="s">
        <v>208</v>
      </c>
    </row>
    <row r="188" ht="15.75" customHeight="1">
      <c r="A188" s="55" t="s">
        <v>130</v>
      </c>
      <c r="B188" s="55" t="s">
        <v>275</v>
      </c>
      <c r="C188" s="12" t="s">
        <v>33</v>
      </c>
      <c r="D188" s="12" t="s">
        <v>44</v>
      </c>
      <c r="E188" s="12" t="s">
        <v>45</v>
      </c>
      <c r="F188" s="12" t="s">
        <v>37</v>
      </c>
      <c r="G188" s="15" t="s">
        <v>38</v>
      </c>
      <c r="H188" s="12" t="s">
        <v>47</v>
      </c>
      <c r="I188" s="12" t="s">
        <v>48</v>
      </c>
      <c r="J188" s="12" t="s">
        <v>41</v>
      </c>
      <c r="K188" s="12" t="s">
        <v>208</v>
      </c>
    </row>
    <row r="189" ht="15.75" customHeight="1">
      <c r="A189" s="55" t="s">
        <v>130</v>
      </c>
      <c r="B189" s="55" t="s">
        <v>275</v>
      </c>
      <c r="C189" s="12" t="s">
        <v>33</v>
      </c>
      <c r="D189" s="12" t="s">
        <v>52</v>
      </c>
      <c r="E189" s="12" t="s">
        <v>53</v>
      </c>
      <c r="F189" s="12" t="s">
        <v>37</v>
      </c>
      <c r="G189" s="15" t="s">
        <v>38</v>
      </c>
      <c r="H189" s="12" t="s">
        <v>54</v>
      </c>
      <c r="I189" s="12" t="s">
        <v>48</v>
      </c>
      <c r="J189" s="12" t="s">
        <v>41</v>
      </c>
      <c r="K189" s="12" t="s">
        <v>208</v>
      </c>
    </row>
    <row r="190" ht="15.75" customHeight="1">
      <c r="A190" s="55" t="s">
        <v>130</v>
      </c>
      <c r="B190" s="55" t="s">
        <v>275</v>
      </c>
      <c r="C190" s="12" t="s">
        <v>55</v>
      </c>
      <c r="D190" s="12" t="s">
        <v>56</v>
      </c>
      <c r="E190" s="12" t="s">
        <v>57</v>
      </c>
      <c r="F190" s="12" t="s">
        <v>58</v>
      </c>
      <c r="G190" s="15" t="s">
        <v>38</v>
      </c>
      <c r="H190" s="12" t="s">
        <v>47</v>
      </c>
      <c r="I190" s="12" t="s">
        <v>48</v>
      </c>
      <c r="J190" s="12" t="s">
        <v>59</v>
      </c>
      <c r="K190" s="12" t="s">
        <v>208</v>
      </c>
    </row>
    <row r="191" ht="15.75" customHeight="1">
      <c r="A191" s="55" t="s">
        <v>130</v>
      </c>
      <c r="B191" s="55" t="s">
        <v>275</v>
      </c>
      <c r="C191" s="12" t="s">
        <v>256</v>
      </c>
      <c r="D191" s="12" t="s">
        <v>257</v>
      </c>
      <c r="E191" s="12" t="s">
        <v>57</v>
      </c>
      <c r="F191" s="12" t="s">
        <v>58</v>
      </c>
      <c r="G191" s="15" t="s">
        <v>38</v>
      </c>
      <c r="H191" s="12" t="s">
        <v>211</v>
      </c>
      <c r="I191" s="12" t="s">
        <v>48</v>
      </c>
      <c r="J191" s="12" t="s">
        <v>258</v>
      </c>
      <c r="K191" s="12" t="s">
        <v>208</v>
      </c>
    </row>
    <row r="192" ht="15.75" customHeight="1">
      <c r="A192" s="55" t="s">
        <v>130</v>
      </c>
      <c r="B192" s="55" t="s">
        <v>275</v>
      </c>
      <c r="C192" s="12" t="s">
        <v>33</v>
      </c>
      <c r="D192" s="12" t="s">
        <v>213</v>
      </c>
      <c r="E192" s="12" t="s">
        <v>45</v>
      </c>
      <c r="F192" s="12" t="s">
        <v>37</v>
      </c>
      <c r="G192" s="12" t="s">
        <v>40</v>
      </c>
      <c r="H192" s="12" t="s">
        <v>214</v>
      </c>
      <c r="I192" s="12" t="s">
        <v>48</v>
      </c>
      <c r="J192" s="12"/>
      <c r="K192" s="12" t="s">
        <v>215</v>
      </c>
    </row>
    <row r="193" ht="15.75" customHeight="1">
      <c r="A193" s="55" t="s">
        <v>130</v>
      </c>
      <c r="B193" s="55" t="s">
        <v>275</v>
      </c>
      <c r="C193" s="12" t="s">
        <v>33</v>
      </c>
      <c r="D193" s="12" t="s">
        <v>216</v>
      </c>
      <c r="E193" s="12" t="s">
        <v>45</v>
      </c>
      <c r="F193" s="12" t="s">
        <v>37</v>
      </c>
      <c r="G193" s="12" t="s">
        <v>40</v>
      </c>
      <c r="H193" s="12" t="s">
        <v>214</v>
      </c>
      <c r="I193" s="12" t="s">
        <v>48</v>
      </c>
      <c r="J193" s="12" t="s">
        <v>41</v>
      </c>
      <c r="K193" s="12" t="s">
        <v>215</v>
      </c>
    </row>
    <row r="194" ht="15.75" customHeight="1">
      <c r="A194" s="55" t="s">
        <v>130</v>
      </c>
      <c r="B194" s="55" t="s">
        <v>275</v>
      </c>
      <c r="C194" s="12" t="s">
        <v>33</v>
      </c>
      <c r="D194" s="12" t="s">
        <v>218</v>
      </c>
      <c r="E194" s="12" t="s">
        <v>219</v>
      </c>
      <c r="F194" s="12" t="s">
        <v>37</v>
      </c>
      <c r="G194" s="12" t="s">
        <v>40</v>
      </c>
      <c r="H194" s="12" t="s">
        <v>229</v>
      </c>
      <c r="I194" s="12" t="s">
        <v>38</v>
      </c>
      <c r="J194" s="12" t="s">
        <v>41</v>
      </c>
      <c r="K194" s="12" t="s">
        <v>215</v>
      </c>
    </row>
    <row r="195" ht="15.75" customHeight="1">
      <c r="A195" s="55" t="s">
        <v>130</v>
      </c>
      <c r="B195" s="55" t="s">
        <v>275</v>
      </c>
      <c r="C195" s="12" t="s">
        <v>33</v>
      </c>
      <c r="D195" s="12" t="s">
        <v>230</v>
      </c>
      <c r="E195" s="12" t="s">
        <v>53</v>
      </c>
      <c r="F195" s="12" t="s">
        <v>37</v>
      </c>
      <c r="G195" s="12" t="s">
        <v>40</v>
      </c>
      <c r="H195" s="12" t="s">
        <v>231</v>
      </c>
      <c r="I195" s="12" t="s">
        <v>48</v>
      </c>
      <c r="J195" s="12" t="s">
        <v>41</v>
      </c>
      <c r="K195" s="12" t="s">
        <v>215</v>
      </c>
    </row>
    <row r="196" ht="15.75" customHeight="1">
      <c r="A196" s="55" t="s">
        <v>130</v>
      </c>
      <c r="B196" s="55" t="s">
        <v>275</v>
      </c>
      <c r="C196" s="12" t="s">
        <v>259</v>
      </c>
      <c r="D196" s="12" t="s">
        <v>260</v>
      </c>
      <c r="E196" s="12" t="s">
        <v>137</v>
      </c>
      <c r="F196" s="12" t="s">
        <v>37</v>
      </c>
      <c r="G196" s="12" t="s">
        <v>40</v>
      </c>
      <c r="H196" s="12" t="s">
        <v>229</v>
      </c>
      <c r="I196" s="12" t="s">
        <v>38</v>
      </c>
      <c r="J196" s="12" t="s">
        <v>261</v>
      </c>
      <c r="K196" s="12" t="s">
        <v>215</v>
      </c>
    </row>
    <row r="197" ht="15.75" customHeight="1">
      <c r="A197" s="55" t="s">
        <v>130</v>
      </c>
      <c r="B197" s="55" t="s">
        <v>275</v>
      </c>
      <c r="C197" s="12" t="s">
        <v>233</v>
      </c>
      <c r="D197" s="12" t="s">
        <v>234</v>
      </c>
      <c r="E197" s="12" t="s">
        <v>156</v>
      </c>
      <c r="F197" s="12" t="s">
        <v>37</v>
      </c>
      <c r="G197" s="12" t="s">
        <v>40</v>
      </c>
      <c r="H197" s="12" t="s">
        <v>214</v>
      </c>
      <c r="I197" s="12" t="s">
        <v>40</v>
      </c>
      <c r="J197" s="12" t="s">
        <v>235</v>
      </c>
      <c r="K197" s="12" t="s">
        <v>215</v>
      </c>
    </row>
    <row r="198" ht="15.75" customHeight="1">
      <c r="A198" s="55" t="s">
        <v>130</v>
      </c>
      <c r="B198" s="55" t="s">
        <v>275</v>
      </c>
      <c r="C198" s="12" t="s">
        <v>203</v>
      </c>
      <c r="D198" s="12" t="s">
        <v>204</v>
      </c>
      <c r="E198" s="12" t="s">
        <v>205</v>
      </c>
      <c r="F198" s="12" t="s">
        <v>58</v>
      </c>
      <c r="G198" s="12" t="s">
        <v>40</v>
      </c>
      <c r="H198" s="12" t="s">
        <v>206</v>
      </c>
      <c r="I198" s="12" t="s">
        <v>48</v>
      </c>
      <c r="J198" s="12" t="s">
        <v>207</v>
      </c>
      <c r="K198" s="12" t="s">
        <v>215</v>
      </c>
    </row>
    <row r="199" ht="15.75" customHeight="1">
      <c r="A199" s="55" t="s">
        <v>130</v>
      </c>
      <c r="B199" s="55" t="s">
        <v>275</v>
      </c>
      <c r="C199" s="12" t="s">
        <v>262</v>
      </c>
      <c r="D199" s="12" t="s">
        <v>263</v>
      </c>
      <c r="E199" s="12" t="s">
        <v>156</v>
      </c>
      <c r="F199" s="12" t="s">
        <v>37</v>
      </c>
      <c r="G199" s="12" t="s">
        <v>40</v>
      </c>
      <c r="H199" s="12" t="s">
        <v>264</v>
      </c>
      <c r="I199" s="12" t="s">
        <v>40</v>
      </c>
      <c r="J199" s="12" t="s">
        <v>265</v>
      </c>
      <c r="K199" s="12" t="s">
        <v>215</v>
      </c>
    </row>
    <row r="200" ht="15.75" customHeight="1">
      <c r="A200" s="55" t="s">
        <v>130</v>
      </c>
      <c r="B200" s="55" t="s">
        <v>275</v>
      </c>
      <c r="C200" s="12" t="s">
        <v>209</v>
      </c>
      <c r="D200" s="12" t="s">
        <v>210</v>
      </c>
      <c r="E200" s="12" t="s">
        <v>57</v>
      </c>
      <c r="F200" s="12" t="s">
        <v>58</v>
      </c>
      <c r="G200" s="12" t="s">
        <v>40</v>
      </c>
      <c r="H200" s="12" t="s">
        <v>211</v>
      </c>
      <c r="I200" s="12" t="s">
        <v>48</v>
      </c>
      <c r="J200" s="12" t="s">
        <v>212</v>
      </c>
      <c r="K200" s="12" t="s">
        <v>215</v>
      </c>
    </row>
    <row r="201" ht="15.75" customHeight="1">
      <c r="A201" s="55" t="s">
        <v>130</v>
      </c>
      <c r="B201" s="55" t="s">
        <v>275</v>
      </c>
      <c r="C201" s="12" t="s">
        <v>154</v>
      </c>
      <c r="D201" s="12" t="s">
        <v>155</v>
      </c>
      <c r="E201" s="12" t="s">
        <v>156</v>
      </c>
      <c r="F201" s="12" t="s">
        <v>37</v>
      </c>
      <c r="G201" s="12" t="s">
        <v>40</v>
      </c>
      <c r="H201" s="12" t="s">
        <v>68</v>
      </c>
      <c r="I201" s="12" t="s">
        <v>40</v>
      </c>
      <c r="J201" s="12" t="s">
        <v>157</v>
      </c>
      <c r="K201" s="12" t="s">
        <v>215</v>
      </c>
    </row>
    <row r="202" ht="15.75" customHeight="1">
      <c r="A202" s="79" t="s">
        <v>223</v>
      </c>
      <c r="B202" s="79" t="s">
        <v>280</v>
      </c>
      <c r="C202" s="12" t="s">
        <v>33</v>
      </c>
      <c r="D202" s="12" t="s">
        <v>303</v>
      </c>
      <c r="E202" s="12" t="s">
        <v>45</v>
      </c>
      <c r="F202" s="12" t="s">
        <v>37</v>
      </c>
      <c r="G202" s="15" t="s">
        <v>38</v>
      </c>
      <c r="H202" s="12" t="s">
        <v>304</v>
      </c>
      <c r="I202" s="12" t="s">
        <v>48</v>
      </c>
      <c r="J202" s="12" t="s">
        <v>41</v>
      </c>
      <c r="K202" s="12" t="s">
        <v>305</v>
      </c>
    </row>
    <row r="203" ht="15.75" customHeight="1">
      <c r="A203" s="79" t="s">
        <v>223</v>
      </c>
      <c r="B203" s="79" t="s">
        <v>280</v>
      </c>
      <c r="C203" s="12" t="s">
        <v>33</v>
      </c>
      <c r="D203" s="12" t="s">
        <v>52</v>
      </c>
      <c r="E203" s="12" t="s">
        <v>53</v>
      </c>
      <c r="F203" s="12" t="s">
        <v>37</v>
      </c>
      <c r="G203" s="15" t="s">
        <v>38</v>
      </c>
      <c r="H203" s="12" t="s">
        <v>54</v>
      </c>
      <c r="I203" s="12" t="s">
        <v>48</v>
      </c>
      <c r="J203" s="12" t="s">
        <v>41</v>
      </c>
      <c r="K203" s="12" t="s">
        <v>305</v>
      </c>
    </row>
    <row r="204" ht="15.75" customHeight="1">
      <c r="A204" s="79" t="s">
        <v>223</v>
      </c>
      <c r="B204" s="79" t="s">
        <v>280</v>
      </c>
      <c r="C204" s="12" t="s">
        <v>307</v>
      </c>
      <c r="D204" s="12" t="s">
        <v>308</v>
      </c>
      <c r="E204" s="12" t="s">
        <v>57</v>
      </c>
      <c r="F204" s="12" t="s">
        <v>58</v>
      </c>
      <c r="G204" s="15" t="s">
        <v>38</v>
      </c>
      <c r="H204" s="12" t="s">
        <v>39</v>
      </c>
      <c r="I204" s="12" t="s">
        <v>48</v>
      </c>
      <c r="J204" s="12" t="s">
        <v>309</v>
      </c>
      <c r="K204" s="12" t="s">
        <v>305</v>
      </c>
    </row>
    <row r="205" ht="15.75" customHeight="1">
      <c r="A205" s="79" t="s">
        <v>223</v>
      </c>
      <c r="B205" s="79" t="s">
        <v>280</v>
      </c>
      <c r="C205" s="12" t="s">
        <v>33</v>
      </c>
      <c r="D205" s="12" t="s">
        <v>35</v>
      </c>
      <c r="E205" s="12" t="s">
        <v>36</v>
      </c>
      <c r="F205" s="12" t="s">
        <v>37</v>
      </c>
      <c r="G205" s="12" t="s">
        <v>40</v>
      </c>
      <c r="H205" s="12" t="s">
        <v>39</v>
      </c>
      <c r="I205" s="12" t="s">
        <v>40</v>
      </c>
      <c r="J205" s="12" t="s">
        <v>41</v>
      </c>
      <c r="K205" s="12" t="s">
        <v>310</v>
      </c>
    </row>
    <row r="206" ht="15.75" customHeight="1">
      <c r="A206" s="79" t="s">
        <v>223</v>
      </c>
      <c r="B206" s="79" t="s">
        <v>280</v>
      </c>
      <c r="C206" s="12" t="s">
        <v>33</v>
      </c>
      <c r="D206" s="12" t="s">
        <v>315</v>
      </c>
      <c r="E206" s="12" t="s">
        <v>45</v>
      </c>
      <c r="F206" s="12" t="s">
        <v>37</v>
      </c>
      <c r="G206" s="12" t="s">
        <v>40</v>
      </c>
      <c r="H206" s="12" t="s">
        <v>316</v>
      </c>
      <c r="I206" s="12" t="s">
        <v>48</v>
      </c>
      <c r="J206" s="12" t="s">
        <v>41</v>
      </c>
      <c r="K206" s="12" t="s">
        <v>310</v>
      </c>
    </row>
    <row r="207" ht="15.75" customHeight="1">
      <c r="A207" s="79" t="s">
        <v>223</v>
      </c>
      <c r="B207" s="79" t="s">
        <v>280</v>
      </c>
      <c r="C207" s="12" t="s">
        <v>140</v>
      </c>
      <c r="D207" s="12" t="s">
        <v>141</v>
      </c>
      <c r="E207" s="12" t="s">
        <v>137</v>
      </c>
      <c r="F207" s="12" t="s">
        <v>37</v>
      </c>
      <c r="G207" s="12" t="s">
        <v>40</v>
      </c>
      <c r="H207" s="12" t="s">
        <v>68</v>
      </c>
      <c r="I207" s="12" t="s">
        <v>48</v>
      </c>
      <c r="J207" s="12" t="s">
        <v>143</v>
      </c>
      <c r="K207" s="12" t="s">
        <v>310</v>
      </c>
    </row>
    <row r="208" ht="15.75" customHeight="1">
      <c r="A208" s="79" t="s">
        <v>223</v>
      </c>
      <c r="B208" s="79" t="s">
        <v>280</v>
      </c>
      <c r="C208" s="12" t="s">
        <v>149</v>
      </c>
      <c r="D208" s="12" t="s">
        <v>150</v>
      </c>
      <c r="E208" s="12" t="s">
        <v>137</v>
      </c>
      <c r="F208" s="12" t="s">
        <v>37</v>
      </c>
      <c r="G208" s="12" t="s">
        <v>40</v>
      </c>
      <c r="H208" s="12" t="s">
        <v>138</v>
      </c>
      <c r="I208" s="12" t="s">
        <v>48</v>
      </c>
      <c r="J208" s="12" t="s">
        <v>153</v>
      </c>
      <c r="K208" s="12" t="s">
        <v>310</v>
      </c>
    </row>
    <row r="209" ht="15.75" customHeight="1">
      <c r="A209" s="79" t="s">
        <v>223</v>
      </c>
      <c r="B209" s="79" t="s">
        <v>283</v>
      </c>
      <c r="C209" s="12" t="s">
        <v>33</v>
      </c>
      <c r="D209" s="12" t="s">
        <v>318</v>
      </c>
      <c r="E209" s="12" t="s">
        <v>53</v>
      </c>
      <c r="F209" s="12" t="s">
        <v>37</v>
      </c>
      <c r="G209" s="15" t="s">
        <v>38</v>
      </c>
      <c r="H209" s="12" t="s">
        <v>319</v>
      </c>
      <c r="I209" s="12" t="s">
        <v>48</v>
      </c>
      <c r="J209" s="12" t="s">
        <v>41</v>
      </c>
      <c r="K209" s="12" t="s">
        <v>305</v>
      </c>
    </row>
    <row r="210" ht="15.75" customHeight="1">
      <c r="A210" s="79" t="s">
        <v>223</v>
      </c>
      <c r="B210" s="79" t="s">
        <v>283</v>
      </c>
      <c r="C210" s="12" t="s">
        <v>140</v>
      </c>
      <c r="D210" s="12" t="s">
        <v>141</v>
      </c>
      <c r="E210" s="12" t="s">
        <v>137</v>
      </c>
      <c r="F210" s="12" t="s">
        <v>37</v>
      </c>
      <c r="G210" s="15" t="s">
        <v>38</v>
      </c>
      <c r="H210" s="12" t="s">
        <v>68</v>
      </c>
      <c r="I210" s="12" t="s">
        <v>48</v>
      </c>
      <c r="J210" s="12" t="s">
        <v>143</v>
      </c>
      <c r="K210" s="12" t="s">
        <v>305</v>
      </c>
    </row>
    <row r="211" ht="15.75" customHeight="1">
      <c r="A211" s="79" t="s">
        <v>223</v>
      </c>
      <c r="B211" s="79" t="s">
        <v>283</v>
      </c>
      <c r="C211" s="12" t="s">
        <v>320</v>
      </c>
      <c r="D211" s="12" t="s">
        <v>321</v>
      </c>
      <c r="E211" s="12" t="s">
        <v>205</v>
      </c>
      <c r="F211" s="12" t="s">
        <v>58</v>
      </c>
      <c r="G211" s="15" t="s">
        <v>38</v>
      </c>
      <c r="H211" s="12" t="s">
        <v>68</v>
      </c>
      <c r="I211" s="12" t="s">
        <v>48</v>
      </c>
      <c r="J211" s="12" t="s">
        <v>322</v>
      </c>
      <c r="K211" s="12" t="s">
        <v>305</v>
      </c>
    </row>
    <row r="212" ht="15.75" customHeight="1">
      <c r="A212" s="79" t="s">
        <v>223</v>
      </c>
      <c r="B212" s="79" t="s">
        <v>283</v>
      </c>
      <c r="C212" s="12" t="s">
        <v>323</v>
      </c>
      <c r="D212" s="12" t="s">
        <v>324</v>
      </c>
      <c r="E212" s="12" t="s">
        <v>137</v>
      </c>
      <c r="F212" s="12" t="s">
        <v>37</v>
      </c>
      <c r="G212" s="15" t="s">
        <v>38</v>
      </c>
      <c r="H212" s="12" t="s">
        <v>325</v>
      </c>
      <c r="I212" s="12" t="s">
        <v>48</v>
      </c>
      <c r="J212" s="12" t="s">
        <v>327</v>
      </c>
      <c r="K212" s="12" t="s">
        <v>305</v>
      </c>
    </row>
    <row r="213" ht="15.75" customHeight="1">
      <c r="A213" s="79" t="s">
        <v>223</v>
      </c>
      <c r="B213" s="79" t="s">
        <v>283</v>
      </c>
      <c r="C213" s="12" t="s">
        <v>33</v>
      </c>
      <c r="D213" s="12" t="s">
        <v>35</v>
      </c>
      <c r="E213" s="12" t="s">
        <v>36</v>
      </c>
      <c r="F213" s="12" t="s">
        <v>37</v>
      </c>
      <c r="G213" s="12" t="s">
        <v>40</v>
      </c>
      <c r="H213" s="12" t="s">
        <v>39</v>
      </c>
      <c r="I213" s="12" t="s">
        <v>40</v>
      </c>
      <c r="J213" s="12" t="s">
        <v>41</v>
      </c>
      <c r="K213" s="12" t="s">
        <v>310</v>
      </c>
    </row>
    <row r="214" ht="15.75" customHeight="1">
      <c r="A214" s="79" t="s">
        <v>223</v>
      </c>
      <c r="B214" s="79" t="s">
        <v>283</v>
      </c>
      <c r="C214" s="12" t="s">
        <v>33</v>
      </c>
      <c r="D214" s="12" t="s">
        <v>315</v>
      </c>
      <c r="E214" s="12" t="s">
        <v>45</v>
      </c>
      <c r="F214" s="12" t="s">
        <v>37</v>
      </c>
      <c r="G214" s="12" t="s">
        <v>40</v>
      </c>
      <c r="H214" s="12" t="s">
        <v>316</v>
      </c>
      <c r="I214" s="12" t="s">
        <v>48</v>
      </c>
      <c r="J214" s="12" t="s">
        <v>41</v>
      </c>
      <c r="K214" s="12" t="s">
        <v>310</v>
      </c>
    </row>
    <row r="215" ht="15.75" customHeight="1">
      <c r="A215" s="79" t="s">
        <v>223</v>
      </c>
      <c r="B215" s="79" t="s">
        <v>283</v>
      </c>
      <c r="C215" s="12" t="s">
        <v>33</v>
      </c>
      <c r="D215" s="12" t="s">
        <v>52</v>
      </c>
      <c r="E215" s="12" t="s">
        <v>53</v>
      </c>
      <c r="F215" s="12" t="s">
        <v>37</v>
      </c>
      <c r="G215" s="12" t="s">
        <v>40</v>
      </c>
      <c r="H215" s="12" t="s">
        <v>54</v>
      </c>
      <c r="I215" s="12" t="s">
        <v>48</v>
      </c>
      <c r="J215" s="12" t="s">
        <v>41</v>
      </c>
      <c r="K215" s="12" t="s">
        <v>310</v>
      </c>
    </row>
    <row r="216" ht="15.75" customHeight="1">
      <c r="A216" s="79" t="s">
        <v>223</v>
      </c>
      <c r="B216" s="79" t="s">
        <v>283</v>
      </c>
      <c r="C216" s="12" t="s">
        <v>33</v>
      </c>
      <c r="D216" s="12" t="s">
        <v>162</v>
      </c>
      <c r="E216" s="12" t="s">
        <v>53</v>
      </c>
      <c r="F216" s="12" t="s">
        <v>37</v>
      </c>
      <c r="G216" s="12" t="s">
        <v>40</v>
      </c>
      <c r="H216" s="12" t="s">
        <v>121</v>
      </c>
      <c r="I216" s="12" t="s">
        <v>48</v>
      </c>
      <c r="J216" s="12" t="s">
        <v>41</v>
      </c>
      <c r="K216" s="12" t="s">
        <v>310</v>
      </c>
    </row>
    <row r="217" ht="15.75" customHeight="1">
      <c r="A217" s="79" t="s">
        <v>223</v>
      </c>
      <c r="B217" s="79" t="s">
        <v>286</v>
      </c>
      <c r="C217" s="12" t="s">
        <v>33</v>
      </c>
      <c r="D217" s="12" t="s">
        <v>52</v>
      </c>
      <c r="E217" s="12" t="s">
        <v>53</v>
      </c>
      <c r="F217" s="12" t="s">
        <v>37</v>
      </c>
      <c r="G217" s="15" t="s">
        <v>38</v>
      </c>
      <c r="H217" s="12" t="s">
        <v>54</v>
      </c>
      <c r="I217" s="12" t="s">
        <v>48</v>
      </c>
      <c r="J217" s="12" t="s">
        <v>41</v>
      </c>
      <c r="K217" s="12" t="s">
        <v>305</v>
      </c>
    </row>
    <row r="218" ht="15.75" customHeight="1">
      <c r="A218" s="79" t="s">
        <v>223</v>
      </c>
      <c r="B218" s="79" t="s">
        <v>286</v>
      </c>
      <c r="C218" s="12" t="s">
        <v>330</v>
      </c>
      <c r="D218" s="12" t="s">
        <v>331</v>
      </c>
      <c r="E218" s="12" t="s">
        <v>57</v>
      </c>
      <c r="F218" s="12" t="s">
        <v>58</v>
      </c>
      <c r="G218" s="15" t="s">
        <v>38</v>
      </c>
      <c r="H218" s="12" t="s">
        <v>39</v>
      </c>
      <c r="I218" s="12" t="s">
        <v>48</v>
      </c>
      <c r="J218" s="12" t="s">
        <v>332</v>
      </c>
      <c r="K218" s="12" t="s">
        <v>305</v>
      </c>
    </row>
    <row r="219" ht="15.75" customHeight="1">
      <c r="A219" s="79" t="s">
        <v>223</v>
      </c>
      <c r="B219" s="79" t="s">
        <v>286</v>
      </c>
      <c r="C219" s="12" t="s">
        <v>33</v>
      </c>
      <c r="D219" s="12" t="s">
        <v>35</v>
      </c>
      <c r="E219" s="12" t="s">
        <v>36</v>
      </c>
      <c r="F219" s="12" t="s">
        <v>37</v>
      </c>
      <c r="G219" s="12" t="s">
        <v>40</v>
      </c>
      <c r="H219" s="12" t="s">
        <v>39</v>
      </c>
      <c r="I219" s="12" t="s">
        <v>40</v>
      </c>
      <c r="J219" s="12" t="s">
        <v>41</v>
      </c>
      <c r="K219" s="12" t="s">
        <v>310</v>
      </c>
    </row>
    <row r="220" ht="15.75" customHeight="1">
      <c r="A220" s="79" t="s">
        <v>223</v>
      </c>
      <c r="B220" s="79" t="s">
        <v>286</v>
      </c>
      <c r="C220" s="12" t="s">
        <v>33</v>
      </c>
      <c r="D220" s="12" t="s">
        <v>117</v>
      </c>
      <c r="E220" s="12" t="s">
        <v>53</v>
      </c>
      <c r="F220" s="12" t="s">
        <v>37</v>
      </c>
      <c r="G220" s="12" t="s">
        <v>40</v>
      </c>
      <c r="H220" s="12" t="s">
        <v>118</v>
      </c>
      <c r="I220" s="12" t="s">
        <v>40</v>
      </c>
      <c r="J220" s="12" t="s">
        <v>41</v>
      </c>
      <c r="K220" s="12" t="s">
        <v>310</v>
      </c>
    </row>
    <row r="221" ht="15.75" customHeight="1">
      <c r="A221" s="79" t="s">
        <v>223</v>
      </c>
      <c r="B221" s="79" t="s">
        <v>286</v>
      </c>
      <c r="C221" s="12" t="s">
        <v>135</v>
      </c>
      <c r="D221" s="12" t="s">
        <v>136</v>
      </c>
      <c r="E221" s="12" t="s">
        <v>137</v>
      </c>
      <c r="F221" s="12" t="s">
        <v>37</v>
      </c>
      <c r="G221" s="12" t="s">
        <v>40</v>
      </c>
      <c r="H221" s="12" t="s">
        <v>138</v>
      </c>
      <c r="I221" s="12" t="s">
        <v>48</v>
      </c>
      <c r="J221" s="12" t="s">
        <v>139</v>
      </c>
      <c r="K221" s="12" t="s">
        <v>310</v>
      </c>
    </row>
    <row r="222" ht="15.75" customHeight="1">
      <c r="A222" s="79" t="s">
        <v>223</v>
      </c>
      <c r="B222" s="79" t="s">
        <v>286</v>
      </c>
      <c r="C222" s="12" t="s">
        <v>333</v>
      </c>
      <c r="D222" s="12" t="s">
        <v>334</v>
      </c>
      <c r="E222" s="12" t="s">
        <v>137</v>
      </c>
      <c r="F222" s="12" t="s">
        <v>37</v>
      </c>
      <c r="G222" s="12" t="s">
        <v>40</v>
      </c>
      <c r="H222" s="12" t="s">
        <v>335</v>
      </c>
      <c r="I222" s="12" t="s">
        <v>40</v>
      </c>
      <c r="J222" s="12" t="s">
        <v>336</v>
      </c>
      <c r="K222" s="12" t="s">
        <v>310</v>
      </c>
    </row>
    <row r="223" ht="15.75" customHeight="1">
      <c r="A223" s="79" t="s">
        <v>223</v>
      </c>
      <c r="B223" s="79" t="s">
        <v>286</v>
      </c>
      <c r="C223" s="12" t="s">
        <v>149</v>
      </c>
      <c r="D223" s="12" t="s">
        <v>150</v>
      </c>
      <c r="E223" s="12" t="s">
        <v>137</v>
      </c>
      <c r="F223" s="12" t="s">
        <v>37</v>
      </c>
      <c r="G223" s="12" t="s">
        <v>40</v>
      </c>
      <c r="H223" s="12" t="s">
        <v>138</v>
      </c>
      <c r="I223" s="12" t="s">
        <v>48</v>
      </c>
      <c r="J223" s="12" t="s">
        <v>153</v>
      </c>
      <c r="K223" s="12" t="s">
        <v>310</v>
      </c>
    </row>
    <row r="224" ht="15.75" customHeight="1">
      <c r="A224" s="79" t="s">
        <v>223</v>
      </c>
      <c r="B224" s="79" t="s">
        <v>289</v>
      </c>
      <c r="C224" s="12" t="s">
        <v>33</v>
      </c>
      <c r="D224" s="12" t="s">
        <v>303</v>
      </c>
      <c r="E224" s="12" t="s">
        <v>45</v>
      </c>
      <c r="F224" s="12" t="s">
        <v>37</v>
      </c>
      <c r="G224" s="15" t="s">
        <v>38</v>
      </c>
      <c r="H224" s="12" t="s">
        <v>304</v>
      </c>
      <c r="I224" s="12" t="s">
        <v>48</v>
      </c>
      <c r="J224" s="12" t="s">
        <v>41</v>
      </c>
      <c r="K224" s="12" t="s">
        <v>305</v>
      </c>
    </row>
    <row r="225" ht="15.75" customHeight="1">
      <c r="A225" s="79" t="s">
        <v>223</v>
      </c>
      <c r="B225" s="79" t="s">
        <v>289</v>
      </c>
      <c r="C225" s="12" t="s">
        <v>33</v>
      </c>
      <c r="D225" s="12" t="s">
        <v>52</v>
      </c>
      <c r="E225" s="12" t="s">
        <v>53</v>
      </c>
      <c r="F225" s="12" t="s">
        <v>37</v>
      </c>
      <c r="G225" s="15" t="s">
        <v>38</v>
      </c>
      <c r="H225" s="12" t="s">
        <v>54</v>
      </c>
      <c r="I225" s="12" t="s">
        <v>48</v>
      </c>
      <c r="J225" s="12" t="s">
        <v>41</v>
      </c>
      <c r="K225" s="12" t="s">
        <v>305</v>
      </c>
    </row>
    <row r="226" ht="15.75" customHeight="1">
      <c r="A226" s="79" t="s">
        <v>223</v>
      </c>
      <c r="B226" s="79" t="s">
        <v>289</v>
      </c>
      <c r="C226" s="12" t="s">
        <v>338</v>
      </c>
      <c r="D226" s="12" t="s">
        <v>339</v>
      </c>
      <c r="E226" s="12" t="s">
        <v>57</v>
      </c>
      <c r="F226" s="12" t="s">
        <v>58</v>
      </c>
      <c r="G226" s="15" t="s">
        <v>38</v>
      </c>
      <c r="H226" s="12" t="s">
        <v>47</v>
      </c>
      <c r="I226" s="12" t="s">
        <v>48</v>
      </c>
      <c r="J226" s="12" t="s">
        <v>340</v>
      </c>
      <c r="K226" s="12" t="s">
        <v>305</v>
      </c>
    </row>
    <row r="227" ht="15.75" customHeight="1">
      <c r="A227" s="79" t="s">
        <v>223</v>
      </c>
      <c r="B227" s="79" t="s">
        <v>289</v>
      </c>
      <c r="C227" s="12" t="s">
        <v>33</v>
      </c>
      <c r="D227" s="12" t="s">
        <v>35</v>
      </c>
      <c r="E227" s="12" t="s">
        <v>36</v>
      </c>
      <c r="F227" s="12" t="s">
        <v>37</v>
      </c>
      <c r="G227" s="12" t="s">
        <v>40</v>
      </c>
      <c r="H227" s="12" t="s">
        <v>39</v>
      </c>
      <c r="I227" s="12" t="s">
        <v>40</v>
      </c>
      <c r="J227" s="12" t="s">
        <v>41</v>
      </c>
      <c r="K227" s="12" t="s">
        <v>310</v>
      </c>
    </row>
    <row r="228" ht="15.75" customHeight="1">
      <c r="A228" s="79" t="s">
        <v>223</v>
      </c>
      <c r="B228" s="79" t="s">
        <v>289</v>
      </c>
      <c r="C228" s="12" t="s">
        <v>33</v>
      </c>
      <c r="D228" s="12" t="s">
        <v>315</v>
      </c>
      <c r="E228" s="12" t="s">
        <v>45</v>
      </c>
      <c r="F228" s="12" t="s">
        <v>37</v>
      </c>
      <c r="G228" s="12" t="s">
        <v>40</v>
      </c>
      <c r="H228" s="12" t="s">
        <v>316</v>
      </c>
      <c r="I228" s="12" t="s">
        <v>48</v>
      </c>
      <c r="J228" s="12" t="s">
        <v>41</v>
      </c>
      <c r="K228" s="12" t="s">
        <v>310</v>
      </c>
    </row>
    <row r="229" ht="15.75" customHeight="1">
      <c r="A229" s="79" t="s">
        <v>223</v>
      </c>
      <c r="B229" s="79" t="s">
        <v>289</v>
      </c>
      <c r="C229" s="12" t="s">
        <v>149</v>
      </c>
      <c r="D229" s="12" t="s">
        <v>150</v>
      </c>
      <c r="E229" s="12" t="s">
        <v>137</v>
      </c>
      <c r="F229" s="12" t="s">
        <v>37</v>
      </c>
      <c r="G229" s="12" t="s">
        <v>40</v>
      </c>
      <c r="H229" s="12" t="s">
        <v>138</v>
      </c>
      <c r="I229" s="12" t="s">
        <v>48</v>
      </c>
      <c r="J229" s="12" t="s">
        <v>153</v>
      </c>
      <c r="K229" s="12" t="s">
        <v>310</v>
      </c>
    </row>
    <row r="230" ht="15.75" customHeight="1">
      <c r="A230" s="79" t="s">
        <v>223</v>
      </c>
      <c r="B230" s="79" t="s">
        <v>292</v>
      </c>
      <c r="C230" s="12" t="s">
        <v>33</v>
      </c>
      <c r="D230" s="12" t="s">
        <v>341</v>
      </c>
      <c r="E230" s="12" t="s">
        <v>219</v>
      </c>
      <c r="F230" s="12" t="s">
        <v>37</v>
      </c>
      <c r="G230" s="15" t="s">
        <v>38</v>
      </c>
      <c r="H230" s="12" t="s">
        <v>47</v>
      </c>
      <c r="I230" s="12" t="s">
        <v>48</v>
      </c>
      <c r="J230" s="12" t="s">
        <v>41</v>
      </c>
      <c r="K230" s="12" t="s">
        <v>305</v>
      </c>
    </row>
    <row r="231" ht="15.75" customHeight="1">
      <c r="A231" s="79" t="s">
        <v>223</v>
      </c>
      <c r="B231" s="79" t="s">
        <v>292</v>
      </c>
      <c r="C231" s="12" t="s">
        <v>33</v>
      </c>
      <c r="D231" s="12" t="s">
        <v>303</v>
      </c>
      <c r="E231" s="12" t="s">
        <v>45</v>
      </c>
      <c r="F231" s="12" t="s">
        <v>37</v>
      </c>
      <c r="G231" s="15" t="s">
        <v>38</v>
      </c>
      <c r="H231" s="12" t="s">
        <v>304</v>
      </c>
      <c r="I231" s="12" t="s">
        <v>48</v>
      </c>
      <c r="J231" s="12" t="s">
        <v>41</v>
      </c>
      <c r="K231" s="12" t="s">
        <v>305</v>
      </c>
    </row>
    <row r="232" ht="15.75" customHeight="1">
      <c r="A232" s="79" t="s">
        <v>223</v>
      </c>
      <c r="B232" s="79" t="s">
        <v>292</v>
      </c>
      <c r="C232" s="12" t="s">
        <v>342</v>
      </c>
      <c r="D232" s="12" t="s">
        <v>343</v>
      </c>
      <c r="E232" s="12" t="s">
        <v>205</v>
      </c>
      <c r="F232" s="12" t="s">
        <v>58</v>
      </c>
      <c r="G232" s="15" t="s">
        <v>38</v>
      </c>
      <c r="H232" s="12" t="s">
        <v>39</v>
      </c>
      <c r="I232" s="12" t="s">
        <v>48</v>
      </c>
      <c r="J232" s="12" t="s">
        <v>344</v>
      </c>
      <c r="K232" s="12" t="s">
        <v>305</v>
      </c>
    </row>
    <row r="233" ht="15.75" customHeight="1">
      <c r="A233" s="79" t="s">
        <v>223</v>
      </c>
      <c r="B233" s="79" t="s">
        <v>292</v>
      </c>
      <c r="C233" s="12" t="s">
        <v>345</v>
      </c>
      <c r="D233" s="12" t="s">
        <v>346</v>
      </c>
      <c r="E233" s="12" t="s">
        <v>57</v>
      </c>
      <c r="F233" s="12" t="s">
        <v>58</v>
      </c>
      <c r="G233" s="15" t="s">
        <v>38</v>
      </c>
      <c r="H233" s="12" t="s">
        <v>347</v>
      </c>
      <c r="I233" s="12" t="s">
        <v>48</v>
      </c>
      <c r="J233" s="12" t="s">
        <v>348</v>
      </c>
      <c r="K233" s="12" t="s">
        <v>305</v>
      </c>
    </row>
    <row r="234" ht="15.75" customHeight="1">
      <c r="A234" s="79" t="s">
        <v>223</v>
      </c>
      <c r="B234" s="79" t="s">
        <v>292</v>
      </c>
      <c r="C234" s="12" t="s">
        <v>349</v>
      </c>
      <c r="D234" s="12" t="s">
        <v>350</v>
      </c>
      <c r="E234" s="12" t="s">
        <v>205</v>
      </c>
      <c r="F234" s="12" t="s">
        <v>58</v>
      </c>
      <c r="G234" s="15" t="s">
        <v>38</v>
      </c>
      <c r="H234" s="12" t="s">
        <v>72</v>
      </c>
      <c r="I234" s="12" t="s">
        <v>48</v>
      </c>
      <c r="J234" s="12" t="s">
        <v>351</v>
      </c>
      <c r="K234" s="12" t="s">
        <v>305</v>
      </c>
    </row>
    <row r="235" ht="15.75" customHeight="1">
      <c r="A235" s="79" t="s">
        <v>223</v>
      </c>
      <c r="B235" s="79" t="s">
        <v>292</v>
      </c>
      <c r="C235" s="12" t="s">
        <v>33</v>
      </c>
      <c r="D235" s="12" t="s">
        <v>35</v>
      </c>
      <c r="E235" s="12" t="s">
        <v>36</v>
      </c>
      <c r="F235" s="12" t="s">
        <v>37</v>
      </c>
      <c r="G235" s="12" t="s">
        <v>40</v>
      </c>
      <c r="H235" s="12" t="s">
        <v>39</v>
      </c>
      <c r="I235" s="12" t="s">
        <v>40</v>
      </c>
      <c r="J235" s="12" t="s">
        <v>41</v>
      </c>
      <c r="K235" s="12" t="s">
        <v>310</v>
      </c>
    </row>
    <row r="236" ht="15.75" customHeight="1">
      <c r="A236" s="79" t="s">
        <v>223</v>
      </c>
      <c r="B236" s="79" t="s">
        <v>292</v>
      </c>
      <c r="C236" s="12" t="s">
        <v>33</v>
      </c>
      <c r="D236" s="12" t="s">
        <v>352</v>
      </c>
      <c r="E236" s="12" t="s">
        <v>45</v>
      </c>
      <c r="F236" s="12" t="s">
        <v>37</v>
      </c>
      <c r="G236" s="12" t="s">
        <v>40</v>
      </c>
      <c r="H236" s="12" t="s">
        <v>128</v>
      </c>
      <c r="I236" s="12" t="s">
        <v>48</v>
      </c>
      <c r="J236" s="12" t="s">
        <v>41</v>
      </c>
      <c r="K236" s="12" t="s">
        <v>310</v>
      </c>
    </row>
    <row r="237" ht="15.75" customHeight="1">
      <c r="A237" s="79" t="s">
        <v>223</v>
      </c>
      <c r="B237" s="79" t="s">
        <v>292</v>
      </c>
      <c r="C237" s="12" t="s">
        <v>33</v>
      </c>
      <c r="D237" s="12" t="s">
        <v>353</v>
      </c>
      <c r="E237" s="12" t="s">
        <v>197</v>
      </c>
      <c r="F237" s="12" t="s">
        <v>37</v>
      </c>
      <c r="G237" s="12" t="s">
        <v>40</v>
      </c>
      <c r="H237" s="12" t="s">
        <v>128</v>
      </c>
      <c r="I237" s="12" t="s">
        <v>48</v>
      </c>
      <c r="J237" s="12" t="s">
        <v>41</v>
      </c>
      <c r="K237" s="12" t="s">
        <v>310</v>
      </c>
    </row>
    <row r="238" ht="15.75" customHeight="1">
      <c r="A238" s="79" t="s">
        <v>223</v>
      </c>
      <c r="B238" s="79" t="s">
        <v>292</v>
      </c>
      <c r="C238" s="12" t="s">
        <v>33</v>
      </c>
      <c r="D238" s="12" t="s">
        <v>52</v>
      </c>
      <c r="E238" s="12" t="s">
        <v>53</v>
      </c>
      <c r="F238" s="12" t="s">
        <v>37</v>
      </c>
      <c r="G238" s="12" t="s">
        <v>40</v>
      </c>
      <c r="H238" s="12" t="s">
        <v>54</v>
      </c>
      <c r="I238" s="12" t="s">
        <v>48</v>
      </c>
      <c r="J238" s="12" t="s">
        <v>41</v>
      </c>
      <c r="K238" s="12" t="s">
        <v>310</v>
      </c>
    </row>
    <row r="239" ht="15.75" customHeight="1">
      <c r="A239" s="79" t="s">
        <v>223</v>
      </c>
      <c r="B239" s="79" t="s">
        <v>292</v>
      </c>
      <c r="C239" s="12" t="s">
        <v>355</v>
      </c>
      <c r="D239" s="12" t="s">
        <v>356</v>
      </c>
      <c r="E239" s="12" t="s">
        <v>137</v>
      </c>
      <c r="F239" s="12" t="s">
        <v>37</v>
      </c>
      <c r="G239" s="12" t="s">
        <v>40</v>
      </c>
      <c r="H239" s="12" t="s">
        <v>128</v>
      </c>
      <c r="I239" s="12" t="s">
        <v>48</v>
      </c>
      <c r="J239" s="12" t="s">
        <v>357</v>
      </c>
      <c r="K239" s="12" t="s">
        <v>310</v>
      </c>
    </row>
    <row r="240" ht="15.75" customHeight="1">
      <c r="A240" s="79" t="s">
        <v>223</v>
      </c>
      <c r="B240" s="79" t="s">
        <v>295</v>
      </c>
      <c r="C240" s="12" t="s">
        <v>33</v>
      </c>
      <c r="D240" s="12" t="s">
        <v>52</v>
      </c>
      <c r="E240" s="12" t="s">
        <v>53</v>
      </c>
      <c r="F240" s="12" t="s">
        <v>37</v>
      </c>
      <c r="G240" s="15" t="s">
        <v>38</v>
      </c>
      <c r="H240" s="12" t="s">
        <v>54</v>
      </c>
      <c r="I240" s="12" t="s">
        <v>48</v>
      </c>
      <c r="J240" s="12" t="s">
        <v>41</v>
      </c>
      <c r="K240" s="12" t="s">
        <v>305</v>
      </c>
    </row>
    <row r="241" ht="15.75" customHeight="1">
      <c r="A241" s="79" t="s">
        <v>223</v>
      </c>
      <c r="B241" s="79" t="s">
        <v>295</v>
      </c>
      <c r="C241" s="12" t="s">
        <v>358</v>
      </c>
      <c r="D241" s="12" t="s">
        <v>359</v>
      </c>
      <c r="E241" s="12" t="s">
        <v>57</v>
      </c>
      <c r="F241" s="12" t="s">
        <v>58</v>
      </c>
      <c r="G241" s="15" t="s">
        <v>38</v>
      </c>
      <c r="H241" s="12" t="s">
        <v>68</v>
      </c>
      <c r="I241" s="12" t="s">
        <v>48</v>
      </c>
      <c r="J241" s="12" t="s">
        <v>360</v>
      </c>
      <c r="K241" s="12" t="s">
        <v>305</v>
      </c>
    </row>
    <row r="242" ht="15.75" customHeight="1">
      <c r="A242" s="79" t="s">
        <v>223</v>
      </c>
      <c r="B242" s="79" t="s">
        <v>295</v>
      </c>
      <c r="C242" s="12" t="s">
        <v>140</v>
      </c>
      <c r="D242" s="12" t="s">
        <v>141</v>
      </c>
      <c r="E242" s="12" t="s">
        <v>137</v>
      </c>
      <c r="F242" s="12" t="s">
        <v>37</v>
      </c>
      <c r="G242" s="15" t="s">
        <v>38</v>
      </c>
      <c r="H242" s="12" t="s">
        <v>68</v>
      </c>
      <c r="I242" s="12" t="s">
        <v>48</v>
      </c>
      <c r="J242" s="12" t="s">
        <v>143</v>
      </c>
      <c r="K242" s="12" t="s">
        <v>305</v>
      </c>
    </row>
    <row r="243" ht="15.75" customHeight="1">
      <c r="A243" s="79" t="s">
        <v>223</v>
      </c>
      <c r="B243" s="79" t="s">
        <v>295</v>
      </c>
      <c r="C243" s="12" t="s">
        <v>361</v>
      </c>
      <c r="D243" s="12" t="s">
        <v>362</v>
      </c>
      <c r="E243" s="12" t="s">
        <v>205</v>
      </c>
      <c r="F243" s="12" t="s">
        <v>58</v>
      </c>
      <c r="G243" s="15" t="s">
        <v>38</v>
      </c>
      <c r="H243" s="12" t="s">
        <v>68</v>
      </c>
      <c r="I243" s="12" t="s">
        <v>48</v>
      </c>
      <c r="J243" s="12" t="s">
        <v>363</v>
      </c>
      <c r="K243" s="12" t="s">
        <v>305</v>
      </c>
    </row>
    <row r="244" ht="15.75" customHeight="1">
      <c r="A244" s="79" t="s">
        <v>223</v>
      </c>
      <c r="B244" s="79" t="s">
        <v>295</v>
      </c>
      <c r="C244" s="12" t="s">
        <v>364</v>
      </c>
      <c r="D244" s="12" t="s">
        <v>365</v>
      </c>
      <c r="E244" s="12" t="s">
        <v>57</v>
      </c>
      <c r="F244" s="12" t="s">
        <v>58</v>
      </c>
      <c r="G244" s="15" t="s">
        <v>38</v>
      </c>
      <c r="H244" s="12" t="s">
        <v>68</v>
      </c>
      <c r="I244" s="12" t="s">
        <v>48</v>
      </c>
      <c r="J244" s="12" t="s">
        <v>366</v>
      </c>
      <c r="K244" s="12" t="s">
        <v>305</v>
      </c>
    </row>
    <row r="245" ht="15.75" customHeight="1">
      <c r="A245" s="79" t="s">
        <v>223</v>
      </c>
      <c r="B245" s="79" t="s">
        <v>295</v>
      </c>
      <c r="C245" s="12" t="s">
        <v>367</v>
      </c>
      <c r="D245" s="12" t="s">
        <v>368</v>
      </c>
      <c r="E245" s="12" t="s">
        <v>57</v>
      </c>
      <c r="F245" s="12" t="s">
        <v>58</v>
      </c>
      <c r="G245" s="15" t="s">
        <v>38</v>
      </c>
      <c r="H245" s="12" t="s">
        <v>68</v>
      </c>
      <c r="I245" s="12" t="s">
        <v>48</v>
      </c>
      <c r="J245" s="12" t="s">
        <v>369</v>
      </c>
      <c r="K245" s="12" t="s">
        <v>305</v>
      </c>
    </row>
    <row r="246" ht="15.75" customHeight="1">
      <c r="A246" s="79" t="s">
        <v>223</v>
      </c>
      <c r="B246" s="79" t="s">
        <v>295</v>
      </c>
      <c r="C246" s="12" t="s">
        <v>33</v>
      </c>
      <c r="D246" s="12" t="s">
        <v>35</v>
      </c>
      <c r="E246" s="12" t="s">
        <v>36</v>
      </c>
      <c r="F246" s="12" t="s">
        <v>37</v>
      </c>
      <c r="G246" s="12" t="s">
        <v>40</v>
      </c>
      <c r="H246" s="12" t="s">
        <v>39</v>
      </c>
      <c r="I246" s="12" t="s">
        <v>40</v>
      </c>
      <c r="J246" s="12" t="s">
        <v>41</v>
      </c>
      <c r="K246" s="12" t="s">
        <v>310</v>
      </c>
    </row>
    <row r="247" ht="15.75" customHeight="1">
      <c r="A247" s="79" t="s">
        <v>223</v>
      </c>
      <c r="B247" s="79" t="s">
        <v>295</v>
      </c>
      <c r="C247" s="12" t="s">
        <v>33</v>
      </c>
      <c r="D247" s="12" t="s">
        <v>117</v>
      </c>
      <c r="E247" s="12" t="s">
        <v>53</v>
      </c>
      <c r="F247" s="12" t="s">
        <v>37</v>
      </c>
      <c r="G247" s="12" t="s">
        <v>40</v>
      </c>
      <c r="H247" s="12" t="s">
        <v>118</v>
      </c>
      <c r="I247" s="12" t="s">
        <v>40</v>
      </c>
      <c r="J247" s="12" t="s">
        <v>41</v>
      </c>
      <c r="K247" s="12" t="s">
        <v>310</v>
      </c>
    </row>
    <row r="248" ht="15.75" customHeight="1">
      <c r="A248" s="79" t="s">
        <v>223</v>
      </c>
      <c r="B248" s="79" t="s">
        <v>295</v>
      </c>
      <c r="C248" s="12" t="s">
        <v>370</v>
      </c>
      <c r="D248" s="12" t="s">
        <v>371</v>
      </c>
      <c r="E248" s="12" t="s">
        <v>137</v>
      </c>
      <c r="F248" s="12" t="s">
        <v>37</v>
      </c>
      <c r="G248" s="12" t="s">
        <v>40</v>
      </c>
      <c r="H248" s="12" t="s">
        <v>372</v>
      </c>
      <c r="I248" s="12" t="s">
        <v>48</v>
      </c>
      <c r="J248" s="12" t="s">
        <v>373</v>
      </c>
      <c r="K248" s="12" t="s">
        <v>310</v>
      </c>
    </row>
    <row r="249" ht="15.75" customHeight="1">
      <c r="A249" s="79" t="s">
        <v>223</v>
      </c>
      <c r="B249" s="79" t="s">
        <v>295</v>
      </c>
      <c r="C249" s="12" t="s">
        <v>154</v>
      </c>
      <c r="D249" s="12" t="s">
        <v>155</v>
      </c>
      <c r="E249" s="12" t="s">
        <v>156</v>
      </c>
      <c r="F249" s="12" t="s">
        <v>37</v>
      </c>
      <c r="G249" s="12" t="s">
        <v>40</v>
      </c>
      <c r="H249" s="12" t="s">
        <v>68</v>
      </c>
      <c r="I249" s="12" t="s">
        <v>40</v>
      </c>
      <c r="J249" s="12" t="s">
        <v>157</v>
      </c>
      <c r="K249" s="12" t="s">
        <v>310</v>
      </c>
    </row>
    <row r="250" ht="15.75" customHeight="1">
      <c r="A250" s="79" t="s">
        <v>223</v>
      </c>
      <c r="B250" s="79" t="s">
        <v>295</v>
      </c>
      <c r="C250" s="12" t="s">
        <v>374</v>
      </c>
      <c r="D250" s="12" t="s">
        <v>375</v>
      </c>
      <c r="E250" s="12" t="s">
        <v>137</v>
      </c>
      <c r="F250" s="12" t="s">
        <v>37</v>
      </c>
      <c r="G250" s="12" t="s">
        <v>40</v>
      </c>
      <c r="H250" s="12" t="s">
        <v>376</v>
      </c>
      <c r="I250" s="12" t="s">
        <v>48</v>
      </c>
      <c r="J250" s="12" t="s">
        <v>377</v>
      </c>
      <c r="K250" s="12" t="s">
        <v>310</v>
      </c>
    </row>
    <row r="251" ht="15.75" customHeight="1">
      <c r="A251" s="79" t="s">
        <v>223</v>
      </c>
      <c r="B251" s="79" t="s">
        <v>298</v>
      </c>
      <c r="C251" s="12" t="s">
        <v>333</v>
      </c>
      <c r="D251" s="12" t="s">
        <v>334</v>
      </c>
      <c r="E251" s="12" t="s">
        <v>137</v>
      </c>
      <c r="F251" s="12" t="s">
        <v>37</v>
      </c>
      <c r="G251" s="15" t="s">
        <v>38</v>
      </c>
      <c r="H251" s="12" t="s">
        <v>335</v>
      </c>
      <c r="I251" s="12" t="s">
        <v>40</v>
      </c>
      <c r="J251" s="12" t="s">
        <v>336</v>
      </c>
      <c r="K251" s="12" t="s">
        <v>305</v>
      </c>
    </row>
    <row r="252" ht="15.75" customHeight="1">
      <c r="A252" s="79" t="s">
        <v>223</v>
      </c>
      <c r="B252" s="79" t="s">
        <v>298</v>
      </c>
      <c r="C252" s="12" t="s">
        <v>378</v>
      </c>
      <c r="D252" s="12" t="s">
        <v>379</v>
      </c>
      <c r="E252" s="12" t="s">
        <v>205</v>
      </c>
      <c r="F252" s="12" t="s">
        <v>58</v>
      </c>
      <c r="G252" s="15" t="s">
        <v>38</v>
      </c>
      <c r="H252" s="12" t="s">
        <v>138</v>
      </c>
      <c r="I252" s="12" t="s">
        <v>48</v>
      </c>
      <c r="J252" s="12" t="s">
        <v>380</v>
      </c>
      <c r="K252" s="12" t="s">
        <v>305</v>
      </c>
    </row>
    <row r="253" ht="15.75" customHeight="1">
      <c r="A253" s="79" t="s">
        <v>223</v>
      </c>
      <c r="B253" s="79" t="s">
        <v>298</v>
      </c>
      <c r="C253" s="12" t="s">
        <v>381</v>
      </c>
      <c r="D253" s="12" t="s">
        <v>382</v>
      </c>
      <c r="E253" s="12" t="s">
        <v>57</v>
      </c>
      <c r="F253" s="12" t="s">
        <v>58</v>
      </c>
      <c r="G253" s="15" t="s">
        <v>38</v>
      </c>
      <c r="H253" s="12" t="s">
        <v>47</v>
      </c>
      <c r="I253" s="12" t="s">
        <v>48</v>
      </c>
      <c r="J253" s="12" t="s">
        <v>383</v>
      </c>
      <c r="K253" s="12" t="s">
        <v>305</v>
      </c>
    </row>
    <row r="254" ht="15.75" customHeight="1">
      <c r="A254" s="79" t="s">
        <v>223</v>
      </c>
      <c r="B254" s="79" t="s">
        <v>298</v>
      </c>
      <c r="C254" s="12" t="s">
        <v>149</v>
      </c>
      <c r="D254" s="12" t="s">
        <v>150</v>
      </c>
      <c r="E254" s="12" t="s">
        <v>137</v>
      </c>
      <c r="F254" s="12" t="s">
        <v>37</v>
      </c>
      <c r="G254" s="15" t="s">
        <v>38</v>
      </c>
      <c r="H254" s="12" t="s">
        <v>138</v>
      </c>
      <c r="I254" s="12" t="s">
        <v>48</v>
      </c>
      <c r="J254" s="12" t="s">
        <v>153</v>
      </c>
      <c r="K254" s="12" t="s">
        <v>305</v>
      </c>
    </row>
    <row r="255" ht="15.75" customHeight="1">
      <c r="A255" s="79" t="s">
        <v>223</v>
      </c>
      <c r="B255" s="79" t="s">
        <v>298</v>
      </c>
      <c r="C255" s="12" t="s">
        <v>384</v>
      </c>
      <c r="D255" s="12" t="s">
        <v>385</v>
      </c>
      <c r="E255" s="12" t="s">
        <v>137</v>
      </c>
      <c r="F255" s="12" t="s">
        <v>37</v>
      </c>
      <c r="G255" s="15" t="s">
        <v>38</v>
      </c>
      <c r="H255" s="12" t="s">
        <v>386</v>
      </c>
      <c r="I255" s="12" t="s">
        <v>48</v>
      </c>
      <c r="J255" s="12" t="s">
        <v>387</v>
      </c>
      <c r="K255" s="12" t="s">
        <v>305</v>
      </c>
    </row>
    <row r="256" ht="15.75" customHeight="1">
      <c r="A256" s="79" t="s">
        <v>223</v>
      </c>
      <c r="B256" s="79" t="s">
        <v>298</v>
      </c>
      <c r="C256" s="12" t="s">
        <v>33</v>
      </c>
      <c r="D256" s="12" t="s">
        <v>35</v>
      </c>
      <c r="E256" s="12" t="s">
        <v>36</v>
      </c>
      <c r="F256" s="12" t="s">
        <v>37</v>
      </c>
      <c r="G256" s="12" t="s">
        <v>40</v>
      </c>
      <c r="H256" s="12" t="s">
        <v>39</v>
      </c>
      <c r="I256" s="12" t="s">
        <v>40</v>
      </c>
      <c r="J256" s="12" t="s">
        <v>41</v>
      </c>
      <c r="K256" s="12" t="s">
        <v>310</v>
      </c>
    </row>
    <row r="257" ht="15.75" customHeight="1">
      <c r="A257" s="79" t="s">
        <v>223</v>
      </c>
      <c r="B257" s="79" t="s">
        <v>298</v>
      </c>
      <c r="C257" s="12" t="s">
        <v>33</v>
      </c>
      <c r="D257" s="12" t="s">
        <v>117</v>
      </c>
      <c r="E257" s="12" t="s">
        <v>53</v>
      </c>
      <c r="F257" s="12" t="s">
        <v>37</v>
      </c>
      <c r="G257" s="12" t="s">
        <v>40</v>
      </c>
      <c r="H257" s="12" t="s">
        <v>118</v>
      </c>
      <c r="I257" s="12" t="s">
        <v>40</v>
      </c>
      <c r="J257" s="12" t="s">
        <v>41</v>
      </c>
      <c r="K257" s="12" t="s">
        <v>310</v>
      </c>
    </row>
    <row r="258" ht="15.75" customHeight="1">
      <c r="A258" s="79" t="s">
        <v>223</v>
      </c>
      <c r="B258" s="79" t="s">
        <v>298</v>
      </c>
      <c r="C258" s="12" t="s">
        <v>33</v>
      </c>
      <c r="D258" s="12" t="s">
        <v>52</v>
      </c>
      <c r="E258" s="12" t="s">
        <v>53</v>
      </c>
      <c r="F258" s="12" t="s">
        <v>37</v>
      </c>
      <c r="G258" s="12" t="s">
        <v>40</v>
      </c>
      <c r="H258" s="12" t="s">
        <v>54</v>
      </c>
      <c r="I258" s="12" t="s">
        <v>48</v>
      </c>
      <c r="J258" s="12" t="s">
        <v>41</v>
      </c>
      <c r="K258" s="12" t="s">
        <v>310</v>
      </c>
    </row>
    <row r="259" ht="15.75" customHeight="1">
      <c r="A259" s="79" t="s">
        <v>223</v>
      </c>
      <c r="B259" s="79" t="s">
        <v>298</v>
      </c>
      <c r="C259" s="12" t="s">
        <v>394</v>
      </c>
      <c r="D259" s="12" t="s">
        <v>395</v>
      </c>
      <c r="E259" s="12" t="s">
        <v>396</v>
      </c>
      <c r="F259" s="12" t="s">
        <v>37</v>
      </c>
      <c r="G259" s="12" t="s">
        <v>40</v>
      </c>
      <c r="H259" s="12" t="s">
        <v>138</v>
      </c>
      <c r="I259" s="12" t="s">
        <v>48</v>
      </c>
      <c r="J259" s="12" t="s">
        <v>397</v>
      </c>
      <c r="K259" s="12" t="s">
        <v>310</v>
      </c>
    </row>
    <row r="260" ht="15.75" customHeight="1">
      <c r="A260" s="79" t="s">
        <v>223</v>
      </c>
      <c r="B260" s="79" t="s">
        <v>298</v>
      </c>
      <c r="C260" s="12" t="s">
        <v>398</v>
      </c>
      <c r="D260" s="12" t="s">
        <v>399</v>
      </c>
      <c r="E260" s="12" t="s">
        <v>137</v>
      </c>
      <c r="F260" s="12" t="s">
        <v>37</v>
      </c>
      <c r="G260" s="12" t="s">
        <v>40</v>
      </c>
      <c r="H260" s="12" t="s">
        <v>400</v>
      </c>
      <c r="I260" s="12" t="s">
        <v>38</v>
      </c>
      <c r="J260" s="12" t="s">
        <v>401</v>
      </c>
      <c r="K260" s="12" t="s">
        <v>310</v>
      </c>
    </row>
    <row r="261" ht="15.75" customHeight="1">
      <c r="A261" s="79" t="s">
        <v>223</v>
      </c>
      <c r="B261" s="79" t="s">
        <v>301</v>
      </c>
      <c r="C261" s="12" t="s">
        <v>248</v>
      </c>
      <c r="D261" s="12" t="s">
        <v>249</v>
      </c>
      <c r="E261" s="12" t="s">
        <v>57</v>
      </c>
      <c r="F261" s="12" t="s">
        <v>58</v>
      </c>
      <c r="G261" s="15" t="s">
        <v>38</v>
      </c>
      <c r="H261" s="12" t="s">
        <v>72</v>
      </c>
      <c r="I261" s="12" t="s">
        <v>48</v>
      </c>
      <c r="J261" s="12" t="s">
        <v>250</v>
      </c>
      <c r="K261" s="12" t="s">
        <v>305</v>
      </c>
    </row>
    <row r="262" ht="15.75" customHeight="1">
      <c r="A262" s="79" t="s">
        <v>223</v>
      </c>
      <c r="B262" s="79" t="s">
        <v>301</v>
      </c>
      <c r="C262" s="12" t="s">
        <v>253</v>
      </c>
      <c r="D262" s="12" t="s">
        <v>254</v>
      </c>
      <c r="E262" s="12" t="s">
        <v>57</v>
      </c>
      <c r="F262" s="12" t="s">
        <v>58</v>
      </c>
      <c r="G262" s="15" t="s">
        <v>38</v>
      </c>
      <c r="H262" s="12" t="s">
        <v>72</v>
      </c>
      <c r="I262" s="12" t="s">
        <v>48</v>
      </c>
      <c r="J262" s="12" t="s">
        <v>255</v>
      </c>
      <c r="K262" s="12" t="s">
        <v>305</v>
      </c>
    </row>
    <row r="263" ht="15.75" customHeight="1">
      <c r="A263" s="79" t="s">
        <v>223</v>
      </c>
      <c r="B263" s="79" t="s">
        <v>301</v>
      </c>
      <c r="C263" s="12" t="s">
        <v>349</v>
      </c>
      <c r="D263" s="12" t="s">
        <v>350</v>
      </c>
      <c r="E263" s="12" t="s">
        <v>205</v>
      </c>
      <c r="F263" s="12" t="s">
        <v>58</v>
      </c>
      <c r="G263" s="15" t="s">
        <v>38</v>
      </c>
      <c r="H263" s="12" t="s">
        <v>72</v>
      </c>
      <c r="I263" s="12" t="s">
        <v>48</v>
      </c>
      <c r="J263" s="12" t="s">
        <v>351</v>
      </c>
      <c r="K263" s="12" t="s">
        <v>305</v>
      </c>
    </row>
    <row r="264" ht="15.75" customHeight="1">
      <c r="A264" s="79" t="s">
        <v>223</v>
      </c>
      <c r="B264" s="79" t="s">
        <v>301</v>
      </c>
      <c r="C264" s="12" t="s">
        <v>33</v>
      </c>
      <c r="D264" s="12" t="s">
        <v>35</v>
      </c>
      <c r="E264" s="12" t="s">
        <v>36</v>
      </c>
      <c r="F264" s="12" t="s">
        <v>37</v>
      </c>
      <c r="G264" s="12" t="s">
        <v>40</v>
      </c>
      <c r="H264" s="12" t="s">
        <v>39</v>
      </c>
      <c r="I264" s="12" t="s">
        <v>40</v>
      </c>
      <c r="J264" s="12" t="s">
        <v>41</v>
      </c>
      <c r="K264" s="12" t="s">
        <v>310</v>
      </c>
    </row>
    <row r="265" ht="15.75" customHeight="1">
      <c r="A265" s="79" t="s">
        <v>223</v>
      </c>
      <c r="B265" s="79" t="s">
        <v>301</v>
      </c>
      <c r="C265" s="12" t="s">
        <v>33</v>
      </c>
      <c r="D265" s="12" t="s">
        <v>44</v>
      </c>
      <c r="E265" s="12" t="s">
        <v>45</v>
      </c>
      <c r="F265" s="12" t="s">
        <v>37</v>
      </c>
      <c r="G265" s="12" t="s">
        <v>40</v>
      </c>
      <c r="H265" s="12" t="s">
        <v>47</v>
      </c>
      <c r="I265" s="12" t="s">
        <v>48</v>
      </c>
      <c r="J265" s="12" t="s">
        <v>41</v>
      </c>
      <c r="K265" s="12" t="s">
        <v>310</v>
      </c>
    </row>
    <row r="266" ht="15.75" customHeight="1">
      <c r="A266" s="79" t="s">
        <v>223</v>
      </c>
      <c r="B266" s="79" t="s">
        <v>301</v>
      </c>
      <c r="C266" s="12" t="s">
        <v>33</v>
      </c>
      <c r="D266" s="12" t="s">
        <v>49</v>
      </c>
      <c r="E266" s="12" t="s">
        <v>45</v>
      </c>
      <c r="F266" s="12" t="s">
        <v>37</v>
      </c>
      <c r="G266" s="12" t="s">
        <v>40</v>
      </c>
      <c r="H266" s="12" t="s">
        <v>50</v>
      </c>
      <c r="I266" s="12" t="s">
        <v>48</v>
      </c>
      <c r="J266" s="12" t="s">
        <v>41</v>
      </c>
      <c r="K266" s="12" t="s">
        <v>310</v>
      </c>
    </row>
    <row r="267" ht="15.75" customHeight="1">
      <c r="A267" s="79" t="s">
        <v>223</v>
      </c>
      <c r="B267" s="79" t="s">
        <v>301</v>
      </c>
      <c r="C267" s="12" t="s">
        <v>33</v>
      </c>
      <c r="D267" s="12" t="s">
        <v>52</v>
      </c>
      <c r="E267" s="12" t="s">
        <v>53</v>
      </c>
      <c r="F267" s="12" t="s">
        <v>37</v>
      </c>
      <c r="G267" s="12" t="s">
        <v>40</v>
      </c>
      <c r="H267" s="12" t="s">
        <v>54</v>
      </c>
      <c r="I267" s="12" t="s">
        <v>48</v>
      </c>
      <c r="J267" s="12" t="s">
        <v>41</v>
      </c>
      <c r="K267" s="12" t="s">
        <v>310</v>
      </c>
    </row>
    <row r="268" ht="15.75" customHeight="1">
      <c r="A268" s="79" t="s">
        <v>223</v>
      </c>
      <c r="B268" s="79" t="s">
        <v>301</v>
      </c>
      <c r="C268" s="12" t="s">
        <v>333</v>
      </c>
      <c r="D268" s="12" t="s">
        <v>334</v>
      </c>
      <c r="E268" s="12" t="s">
        <v>137</v>
      </c>
      <c r="F268" s="12" t="s">
        <v>37</v>
      </c>
      <c r="G268" s="12" t="s">
        <v>40</v>
      </c>
      <c r="H268" s="12" t="s">
        <v>335</v>
      </c>
      <c r="I268" s="12" t="s">
        <v>40</v>
      </c>
      <c r="J268" s="12" t="s">
        <v>336</v>
      </c>
      <c r="K268" s="12" t="s">
        <v>310</v>
      </c>
    </row>
    <row r="269" ht="15.75" customHeight="1">
      <c r="A269" s="79" t="s">
        <v>223</v>
      </c>
      <c r="B269" s="79" t="s">
        <v>311</v>
      </c>
      <c r="C269" s="12" t="s">
        <v>394</v>
      </c>
      <c r="D269" s="12" t="s">
        <v>395</v>
      </c>
      <c r="E269" s="12" t="s">
        <v>396</v>
      </c>
      <c r="F269" s="12" t="s">
        <v>37</v>
      </c>
      <c r="G269" s="15" t="s">
        <v>38</v>
      </c>
      <c r="H269" s="12" t="s">
        <v>138</v>
      </c>
      <c r="I269" s="12" t="s">
        <v>48</v>
      </c>
      <c r="J269" s="12" t="s">
        <v>397</v>
      </c>
      <c r="K269" s="12" t="s">
        <v>305</v>
      </c>
    </row>
    <row r="270" ht="15.75" customHeight="1">
      <c r="A270" s="79" t="s">
        <v>223</v>
      </c>
      <c r="B270" s="79" t="s">
        <v>311</v>
      </c>
      <c r="C270" s="12" t="s">
        <v>405</v>
      </c>
      <c r="D270" s="12" t="s">
        <v>406</v>
      </c>
      <c r="E270" s="12" t="s">
        <v>57</v>
      </c>
      <c r="F270" s="12" t="s">
        <v>58</v>
      </c>
      <c r="G270" s="15" t="s">
        <v>38</v>
      </c>
      <c r="H270" s="12" t="s">
        <v>68</v>
      </c>
      <c r="I270" s="12" t="s">
        <v>48</v>
      </c>
      <c r="J270" s="12" t="s">
        <v>408</v>
      </c>
      <c r="K270" s="12" t="s">
        <v>305</v>
      </c>
    </row>
    <row r="271" ht="15.75" customHeight="1">
      <c r="A271" s="79" t="s">
        <v>223</v>
      </c>
      <c r="B271" s="79" t="s">
        <v>311</v>
      </c>
      <c r="C271" s="12" t="s">
        <v>409</v>
      </c>
      <c r="D271" s="12" t="s">
        <v>410</v>
      </c>
      <c r="E271" s="12" t="s">
        <v>205</v>
      </c>
      <c r="F271" s="12" t="s">
        <v>58</v>
      </c>
      <c r="G271" s="15" t="s">
        <v>38</v>
      </c>
      <c r="H271" s="12" t="s">
        <v>68</v>
      </c>
      <c r="I271" s="12" t="s">
        <v>48</v>
      </c>
      <c r="J271" s="12" t="s">
        <v>412</v>
      </c>
      <c r="K271" s="12" t="s">
        <v>305</v>
      </c>
    </row>
    <row r="272" ht="15.75" customHeight="1">
      <c r="A272" s="79" t="s">
        <v>223</v>
      </c>
      <c r="B272" s="79" t="s">
        <v>311</v>
      </c>
      <c r="C272" s="12" t="s">
        <v>413</v>
      </c>
      <c r="D272" s="12" t="s">
        <v>414</v>
      </c>
      <c r="E272" s="12" t="s">
        <v>137</v>
      </c>
      <c r="F272" s="12" t="s">
        <v>37</v>
      </c>
      <c r="G272" s="15" t="s">
        <v>38</v>
      </c>
      <c r="H272" s="12" t="s">
        <v>118</v>
      </c>
      <c r="I272" s="12" t="s">
        <v>48</v>
      </c>
      <c r="J272" s="12" t="s">
        <v>415</v>
      </c>
      <c r="K272" s="12" t="s">
        <v>305</v>
      </c>
    </row>
    <row r="273" ht="15.75" customHeight="1">
      <c r="A273" s="79" t="s">
        <v>223</v>
      </c>
      <c r="B273" s="79" t="s">
        <v>311</v>
      </c>
      <c r="C273" s="12" t="s">
        <v>416</v>
      </c>
      <c r="D273" s="12" t="s">
        <v>417</v>
      </c>
      <c r="E273" s="12" t="s">
        <v>396</v>
      </c>
      <c r="F273" s="12" t="s">
        <v>37</v>
      </c>
      <c r="G273" s="15" t="s">
        <v>38</v>
      </c>
      <c r="H273" s="12" t="s">
        <v>118</v>
      </c>
      <c r="I273" s="12" t="s">
        <v>48</v>
      </c>
      <c r="J273" s="12" t="s">
        <v>418</v>
      </c>
      <c r="K273" s="12" t="s">
        <v>305</v>
      </c>
    </row>
    <row r="274" ht="15.75" customHeight="1">
      <c r="A274" s="79" t="s">
        <v>223</v>
      </c>
      <c r="B274" s="79" t="s">
        <v>311</v>
      </c>
      <c r="C274" s="12" t="s">
        <v>33</v>
      </c>
      <c r="D274" s="12" t="s">
        <v>35</v>
      </c>
      <c r="E274" s="12" t="s">
        <v>36</v>
      </c>
      <c r="F274" s="12" t="s">
        <v>37</v>
      </c>
      <c r="G274" s="12" t="s">
        <v>40</v>
      </c>
      <c r="H274" s="12" t="s">
        <v>39</v>
      </c>
      <c r="I274" s="12" t="s">
        <v>40</v>
      </c>
      <c r="J274" s="12" t="s">
        <v>41</v>
      </c>
      <c r="K274" s="12" t="s">
        <v>310</v>
      </c>
    </row>
    <row r="275" ht="15.75" customHeight="1">
      <c r="A275" s="79" t="s">
        <v>223</v>
      </c>
      <c r="B275" s="79" t="s">
        <v>311</v>
      </c>
      <c r="C275" s="12" t="s">
        <v>33</v>
      </c>
      <c r="D275" s="12" t="s">
        <v>117</v>
      </c>
      <c r="E275" s="12" t="s">
        <v>53</v>
      </c>
      <c r="F275" s="12" t="s">
        <v>37</v>
      </c>
      <c r="G275" s="12" t="s">
        <v>40</v>
      </c>
      <c r="H275" s="12" t="s">
        <v>118</v>
      </c>
      <c r="I275" s="12" t="s">
        <v>40</v>
      </c>
      <c r="J275" s="12" t="s">
        <v>41</v>
      </c>
      <c r="K275" s="12" t="s">
        <v>310</v>
      </c>
    </row>
    <row r="276" ht="15.75" customHeight="1">
      <c r="A276" s="79" t="s">
        <v>223</v>
      </c>
      <c r="B276" s="79" t="s">
        <v>311</v>
      </c>
      <c r="C276" s="12" t="s">
        <v>33</v>
      </c>
      <c r="D276" s="12" t="s">
        <v>52</v>
      </c>
      <c r="E276" s="12" t="s">
        <v>53</v>
      </c>
      <c r="F276" s="12" t="s">
        <v>37</v>
      </c>
      <c r="G276" s="12" t="s">
        <v>40</v>
      </c>
      <c r="H276" s="12" t="s">
        <v>54</v>
      </c>
      <c r="I276" s="12" t="s">
        <v>48</v>
      </c>
      <c r="J276" s="12" t="s">
        <v>41</v>
      </c>
      <c r="K276" s="12" t="s">
        <v>310</v>
      </c>
    </row>
    <row r="277" ht="15.75" customHeight="1">
      <c r="A277" s="79" t="s">
        <v>223</v>
      </c>
      <c r="B277" s="79" t="s">
        <v>311</v>
      </c>
      <c r="C277" s="12" t="s">
        <v>140</v>
      </c>
      <c r="D277" s="12" t="s">
        <v>141</v>
      </c>
      <c r="E277" s="12" t="s">
        <v>137</v>
      </c>
      <c r="F277" s="12" t="s">
        <v>37</v>
      </c>
      <c r="G277" s="12" t="s">
        <v>40</v>
      </c>
      <c r="H277" s="12" t="s">
        <v>68</v>
      </c>
      <c r="I277" s="12" t="s">
        <v>48</v>
      </c>
      <c r="J277" s="12" t="s">
        <v>143</v>
      </c>
      <c r="K277" s="12" t="s">
        <v>310</v>
      </c>
    </row>
    <row r="278" ht="15.75" customHeight="1">
      <c r="A278" s="79" t="s">
        <v>223</v>
      </c>
      <c r="B278" s="79" t="s">
        <v>311</v>
      </c>
      <c r="C278" s="12" t="s">
        <v>262</v>
      </c>
      <c r="D278" s="12" t="s">
        <v>263</v>
      </c>
      <c r="E278" s="12" t="s">
        <v>156</v>
      </c>
      <c r="F278" s="12" t="s">
        <v>37</v>
      </c>
      <c r="G278" s="12" t="s">
        <v>40</v>
      </c>
      <c r="H278" s="12" t="s">
        <v>264</v>
      </c>
      <c r="I278" s="12" t="s">
        <v>40</v>
      </c>
      <c r="J278" s="12" t="s">
        <v>265</v>
      </c>
      <c r="K278" s="12" t="s">
        <v>310</v>
      </c>
    </row>
    <row r="279" ht="15.75" customHeight="1">
      <c r="A279" s="86" t="s">
        <v>226</v>
      </c>
      <c r="B279" s="86" t="s">
        <v>328</v>
      </c>
      <c r="C279" s="12" t="s">
        <v>33</v>
      </c>
      <c r="D279" s="12" t="s">
        <v>352</v>
      </c>
      <c r="E279" s="12" t="s">
        <v>45</v>
      </c>
      <c r="F279" s="12" t="s">
        <v>37</v>
      </c>
      <c r="G279" s="15" t="s">
        <v>38</v>
      </c>
      <c r="H279" s="12" t="s">
        <v>128</v>
      </c>
      <c r="I279" s="12" t="s">
        <v>48</v>
      </c>
      <c r="J279" s="12" t="s">
        <v>41</v>
      </c>
      <c r="K279" s="12" t="s">
        <v>305</v>
      </c>
    </row>
    <row r="280" ht="15.75" customHeight="1">
      <c r="A280" s="86" t="s">
        <v>226</v>
      </c>
      <c r="B280" s="86" t="s">
        <v>328</v>
      </c>
      <c r="C280" s="12" t="s">
        <v>33</v>
      </c>
      <c r="D280" s="12" t="s">
        <v>49</v>
      </c>
      <c r="E280" s="12" t="s">
        <v>45</v>
      </c>
      <c r="F280" s="12" t="s">
        <v>37</v>
      </c>
      <c r="G280" s="15" t="s">
        <v>38</v>
      </c>
      <c r="H280" s="12" t="s">
        <v>50</v>
      </c>
      <c r="I280" s="12" t="s">
        <v>48</v>
      </c>
      <c r="J280" s="12" t="s">
        <v>41</v>
      </c>
      <c r="K280" s="12" t="s">
        <v>305</v>
      </c>
    </row>
    <row r="281" ht="15.75" customHeight="1">
      <c r="A281" s="86" t="s">
        <v>226</v>
      </c>
      <c r="B281" s="86" t="s">
        <v>328</v>
      </c>
      <c r="C281" s="12" t="s">
        <v>75</v>
      </c>
      <c r="D281" s="12" t="s">
        <v>76</v>
      </c>
      <c r="E281" s="12" t="s">
        <v>108</v>
      </c>
      <c r="F281" s="12" t="s">
        <v>58</v>
      </c>
      <c r="G281" s="15" t="s">
        <v>38</v>
      </c>
      <c r="H281" s="12" t="s">
        <v>72</v>
      </c>
      <c r="I281" s="12" t="s">
        <v>48</v>
      </c>
      <c r="J281" s="12" t="s">
        <v>110</v>
      </c>
      <c r="K281" s="12" t="s">
        <v>305</v>
      </c>
    </row>
    <row r="282" ht="15.75" customHeight="1">
      <c r="A282" s="86" t="s">
        <v>226</v>
      </c>
      <c r="B282" s="86" t="s">
        <v>328</v>
      </c>
      <c r="C282" s="12" t="s">
        <v>33</v>
      </c>
      <c r="D282" s="12" t="s">
        <v>353</v>
      </c>
      <c r="E282" s="12" t="s">
        <v>197</v>
      </c>
      <c r="F282" s="12" t="s">
        <v>37</v>
      </c>
      <c r="G282" s="12" t="s">
        <v>40</v>
      </c>
      <c r="H282" s="12" t="s">
        <v>128</v>
      </c>
      <c r="I282" s="12" t="s">
        <v>48</v>
      </c>
      <c r="J282" s="12" t="s">
        <v>41</v>
      </c>
      <c r="K282" s="12" t="s">
        <v>310</v>
      </c>
    </row>
    <row r="283" ht="30.0" customHeight="1">
      <c r="A283" s="86" t="s">
        <v>226</v>
      </c>
      <c r="B283" s="86" t="s">
        <v>328</v>
      </c>
      <c r="C283" s="12" t="s">
        <v>33</v>
      </c>
      <c r="D283" s="12" t="s">
        <v>52</v>
      </c>
      <c r="E283" s="12" t="s">
        <v>53</v>
      </c>
      <c r="F283" s="12" t="s">
        <v>37</v>
      </c>
      <c r="G283" s="12" t="s">
        <v>40</v>
      </c>
      <c r="H283" s="12" t="s">
        <v>54</v>
      </c>
      <c r="I283" s="12" t="s">
        <v>48</v>
      </c>
      <c r="J283" s="12" t="s">
        <v>41</v>
      </c>
      <c r="K283" s="12" t="s">
        <v>310</v>
      </c>
    </row>
    <row r="284" ht="15.75" customHeight="1">
      <c r="A284" s="86" t="s">
        <v>226</v>
      </c>
      <c r="B284" s="86" t="s">
        <v>328</v>
      </c>
      <c r="C284" s="12" t="s">
        <v>349</v>
      </c>
      <c r="D284" s="12" t="s">
        <v>350</v>
      </c>
      <c r="E284" s="12" t="s">
        <v>205</v>
      </c>
      <c r="F284" s="12" t="s">
        <v>58</v>
      </c>
      <c r="G284" s="12" t="s">
        <v>40</v>
      </c>
      <c r="H284" s="12" t="s">
        <v>72</v>
      </c>
      <c r="I284" s="12" t="s">
        <v>48</v>
      </c>
      <c r="J284" s="12" t="s">
        <v>351</v>
      </c>
      <c r="K284" s="12" t="s">
        <v>310</v>
      </c>
    </row>
    <row r="285" ht="15.75" customHeight="1">
      <c r="A285" s="86" t="s">
        <v>226</v>
      </c>
      <c r="B285" s="86" t="s">
        <v>388</v>
      </c>
      <c r="C285" s="12" t="s">
        <v>33</v>
      </c>
      <c r="D285" s="12" t="s">
        <v>303</v>
      </c>
      <c r="E285" s="12" t="s">
        <v>45</v>
      </c>
      <c r="F285" s="12" t="s">
        <v>37</v>
      </c>
      <c r="G285" s="15" t="s">
        <v>38</v>
      </c>
      <c r="H285" s="12" t="s">
        <v>304</v>
      </c>
      <c r="I285" s="12" t="s">
        <v>48</v>
      </c>
      <c r="J285" s="12" t="s">
        <v>41</v>
      </c>
      <c r="K285" s="12" t="s">
        <v>305</v>
      </c>
    </row>
    <row r="286" ht="15.75" customHeight="1">
      <c r="A286" s="86" t="s">
        <v>226</v>
      </c>
      <c r="B286" s="86" t="s">
        <v>388</v>
      </c>
      <c r="C286" s="12" t="s">
        <v>33</v>
      </c>
      <c r="D286" s="12" t="s">
        <v>315</v>
      </c>
      <c r="E286" s="12" t="s">
        <v>45</v>
      </c>
      <c r="F286" s="12" t="s">
        <v>37</v>
      </c>
      <c r="G286" s="12" t="s">
        <v>40</v>
      </c>
      <c r="H286" s="12" t="s">
        <v>316</v>
      </c>
      <c r="I286" s="12" t="s">
        <v>48</v>
      </c>
      <c r="J286" s="12" t="s">
        <v>41</v>
      </c>
      <c r="K286" s="12" t="s">
        <v>310</v>
      </c>
    </row>
    <row r="287" ht="15.75" customHeight="1">
      <c r="A287" s="86" t="s">
        <v>226</v>
      </c>
      <c r="B287" s="86" t="s">
        <v>388</v>
      </c>
      <c r="C287" s="12" t="s">
        <v>33</v>
      </c>
      <c r="D287" s="12" t="s">
        <v>52</v>
      </c>
      <c r="E287" s="12" t="s">
        <v>53</v>
      </c>
      <c r="F287" s="12" t="s">
        <v>37</v>
      </c>
      <c r="G287" s="12" t="s">
        <v>40</v>
      </c>
      <c r="H287" s="12" t="s">
        <v>54</v>
      </c>
      <c r="I287" s="12" t="s">
        <v>48</v>
      </c>
      <c r="J287" s="12" t="s">
        <v>41</v>
      </c>
      <c r="K287" s="12" t="s">
        <v>310</v>
      </c>
    </row>
    <row r="288" ht="15.75" customHeight="1">
      <c r="A288" s="86" t="s">
        <v>226</v>
      </c>
      <c r="B288" s="86" t="s">
        <v>388</v>
      </c>
      <c r="C288" s="12" t="s">
        <v>307</v>
      </c>
      <c r="D288" s="12" t="s">
        <v>308</v>
      </c>
      <c r="E288" s="12" t="s">
        <v>57</v>
      </c>
      <c r="F288" s="12" t="s">
        <v>58</v>
      </c>
      <c r="G288" s="12" t="s">
        <v>40</v>
      </c>
      <c r="H288" s="12" t="s">
        <v>39</v>
      </c>
      <c r="I288" s="12" t="s">
        <v>48</v>
      </c>
      <c r="J288" s="12" t="s">
        <v>309</v>
      </c>
      <c r="K288" s="12" t="s">
        <v>310</v>
      </c>
    </row>
    <row r="289" ht="15.75" customHeight="1">
      <c r="A289" s="86" t="s">
        <v>226</v>
      </c>
      <c r="B289" s="86" t="s">
        <v>388</v>
      </c>
      <c r="C289" s="12" t="s">
        <v>342</v>
      </c>
      <c r="D289" s="12" t="s">
        <v>343</v>
      </c>
      <c r="E289" s="12" t="s">
        <v>205</v>
      </c>
      <c r="F289" s="12" t="s">
        <v>58</v>
      </c>
      <c r="G289" s="12" t="s">
        <v>40</v>
      </c>
      <c r="H289" s="12" t="s">
        <v>39</v>
      </c>
      <c r="I289" s="12" t="s">
        <v>48</v>
      </c>
      <c r="J289" s="12" t="s">
        <v>344</v>
      </c>
      <c r="K289" s="12" t="s">
        <v>310</v>
      </c>
    </row>
    <row r="290" ht="15.75" customHeight="1">
      <c r="A290" s="86" t="s">
        <v>226</v>
      </c>
      <c r="B290" s="86" t="s">
        <v>388</v>
      </c>
      <c r="C290" s="12" t="s">
        <v>345</v>
      </c>
      <c r="D290" s="12" t="s">
        <v>346</v>
      </c>
      <c r="E290" s="12" t="s">
        <v>57</v>
      </c>
      <c r="F290" s="12" t="s">
        <v>58</v>
      </c>
      <c r="G290" s="12" t="s">
        <v>40</v>
      </c>
      <c r="H290" s="12" t="s">
        <v>347</v>
      </c>
      <c r="I290" s="12" t="s">
        <v>48</v>
      </c>
      <c r="J290" s="12" t="s">
        <v>348</v>
      </c>
      <c r="K290" s="12" t="s">
        <v>310</v>
      </c>
    </row>
    <row r="291" ht="15.75" customHeight="1">
      <c r="A291" s="86" t="s">
        <v>226</v>
      </c>
      <c r="B291" s="86" t="s">
        <v>389</v>
      </c>
      <c r="C291" s="12" t="s">
        <v>33</v>
      </c>
      <c r="D291" s="12" t="s">
        <v>315</v>
      </c>
      <c r="E291" s="12" t="s">
        <v>45</v>
      </c>
      <c r="F291" s="12" t="s">
        <v>37</v>
      </c>
      <c r="G291" s="15" t="s">
        <v>38</v>
      </c>
      <c r="H291" s="12" t="s">
        <v>316</v>
      </c>
      <c r="I291" s="12" t="s">
        <v>48</v>
      </c>
      <c r="J291" s="12" t="s">
        <v>41</v>
      </c>
      <c r="K291" s="12" t="s">
        <v>424</v>
      </c>
    </row>
    <row r="292" ht="15.75" customHeight="1">
      <c r="A292" s="86" t="s">
        <v>226</v>
      </c>
      <c r="B292" s="86" t="s">
        <v>389</v>
      </c>
      <c r="C292" s="12" t="s">
        <v>425</v>
      </c>
      <c r="D292" s="12" t="s">
        <v>427</v>
      </c>
      <c r="E292" s="12" t="s">
        <v>108</v>
      </c>
      <c r="F292" s="12" t="s">
        <v>58</v>
      </c>
      <c r="G292" s="15" t="s">
        <v>38</v>
      </c>
      <c r="H292" s="12" t="s">
        <v>428</v>
      </c>
      <c r="I292" s="12" t="s">
        <v>48</v>
      </c>
      <c r="J292" s="12" t="s">
        <v>110</v>
      </c>
      <c r="K292" s="12" t="s">
        <v>424</v>
      </c>
    </row>
    <row r="293" ht="15.75" customHeight="1">
      <c r="A293" s="86" t="s">
        <v>226</v>
      </c>
      <c r="B293" s="86" t="s">
        <v>389</v>
      </c>
      <c r="C293" s="12" t="s">
        <v>33</v>
      </c>
      <c r="D293" s="12" t="s">
        <v>303</v>
      </c>
      <c r="E293" s="12" t="s">
        <v>45</v>
      </c>
      <c r="F293" s="12" t="s">
        <v>37</v>
      </c>
      <c r="G293" s="12" t="s">
        <v>40</v>
      </c>
      <c r="H293" s="12" t="s">
        <v>304</v>
      </c>
      <c r="I293" s="12" t="s">
        <v>48</v>
      </c>
      <c r="J293" s="12" t="s">
        <v>41</v>
      </c>
      <c r="K293" s="12" t="s">
        <v>424</v>
      </c>
    </row>
    <row r="294" ht="15.75" customHeight="1">
      <c r="A294" s="86" t="s">
        <v>226</v>
      </c>
      <c r="B294" s="86" t="s">
        <v>389</v>
      </c>
      <c r="C294" s="12" t="s">
        <v>33</v>
      </c>
      <c r="D294" s="12" t="s">
        <v>230</v>
      </c>
      <c r="E294" s="12" t="s">
        <v>53</v>
      </c>
      <c r="F294" s="12" t="s">
        <v>37</v>
      </c>
      <c r="G294" s="12" t="s">
        <v>40</v>
      </c>
      <c r="H294" s="12" t="s">
        <v>231</v>
      </c>
      <c r="I294" s="12" t="s">
        <v>48</v>
      </c>
      <c r="J294" s="12" t="s">
        <v>41</v>
      </c>
      <c r="K294" s="12" t="s">
        <v>424</v>
      </c>
    </row>
    <row r="295" ht="15.75" customHeight="1">
      <c r="A295" s="86" t="s">
        <v>226</v>
      </c>
      <c r="B295" s="86" t="s">
        <v>389</v>
      </c>
      <c r="C295" s="12" t="s">
        <v>398</v>
      </c>
      <c r="D295" s="12" t="s">
        <v>399</v>
      </c>
      <c r="E295" s="12" t="s">
        <v>137</v>
      </c>
      <c r="F295" s="12" t="s">
        <v>37</v>
      </c>
      <c r="G295" s="12" t="s">
        <v>40</v>
      </c>
      <c r="H295" s="12" t="s">
        <v>400</v>
      </c>
      <c r="I295" s="12" t="s">
        <v>38</v>
      </c>
      <c r="J295" s="12" t="s">
        <v>401</v>
      </c>
      <c r="K295" s="12" t="s">
        <v>424</v>
      </c>
    </row>
    <row r="296" ht="21.0" customHeight="1">
      <c r="A296" s="86" t="s">
        <v>226</v>
      </c>
      <c r="B296" s="86" t="s">
        <v>389</v>
      </c>
      <c r="C296" s="12" t="s">
        <v>370</v>
      </c>
      <c r="D296" s="12" t="s">
        <v>371</v>
      </c>
      <c r="E296" s="12" t="s">
        <v>137</v>
      </c>
      <c r="F296" s="12" t="s">
        <v>37</v>
      </c>
      <c r="G296" s="12" t="s">
        <v>40</v>
      </c>
      <c r="H296" s="12" t="s">
        <v>372</v>
      </c>
      <c r="I296" s="12" t="s">
        <v>48</v>
      </c>
      <c r="J296" s="12" t="s">
        <v>373</v>
      </c>
      <c r="K296" s="12" t="s">
        <v>424</v>
      </c>
    </row>
    <row r="297" ht="15.75" customHeight="1">
      <c r="A297" s="86" t="s">
        <v>226</v>
      </c>
      <c r="B297" s="86" t="s">
        <v>390</v>
      </c>
      <c r="C297" s="12" t="s">
        <v>33</v>
      </c>
      <c r="D297" s="12" t="s">
        <v>352</v>
      </c>
      <c r="E297" s="12" t="s">
        <v>45</v>
      </c>
      <c r="F297" s="12" t="s">
        <v>37</v>
      </c>
      <c r="G297" s="15" t="s">
        <v>38</v>
      </c>
      <c r="H297" s="12" t="s">
        <v>128</v>
      </c>
      <c r="I297" s="12" t="s">
        <v>48</v>
      </c>
      <c r="J297" s="12" t="s">
        <v>41</v>
      </c>
      <c r="K297" s="12" t="s">
        <v>305</v>
      </c>
    </row>
    <row r="298" ht="22.5" customHeight="1">
      <c r="A298" s="86" t="s">
        <v>226</v>
      </c>
      <c r="B298" s="86" t="s">
        <v>390</v>
      </c>
      <c r="C298" s="12" t="s">
        <v>33</v>
      </c>
      <c r="D298" s="12" t="s">
        <v>353</v>
      </c>
      <c r="E298" s="12" t="s">
        <v>197</v>
      </c>
      <c r="F298" s="12" t="s">
        <v>37</v>
      </c>
      <c r="G298" s="15" t="s">
        <v>38</v>
      </c>
      <c r="H298" s="12" t="s">
        <v>128</v>
      </c>
      <c r="I298" s="12" t="s">
        <v>48</v>
      </c>
      <c r="J298" s="12" t="s">
        <v>41</v>
      </c>
      <c r="K298" s="12" t="s">
        <v>305</v>
      </c>
    </row>
    <row r="299" ht="15.75" customHeight="1">
      <c r="A299" s="86" t="s">
        <v>226</v>
      </c>
      <c r="B299" s="86" t="s">
        <v>390</v>
      </c>
      <c r="C299" s="12" t="s">
        <v>33</v>
      </c>
      <c r="D299" s="12" t="s">
        <v>318</v>
      </c>
      <c r="E299" s="12" t="s">
        <v>53</v>
      </c>
      <c r="F299" s="12" t="s">
        <v>37</v>
      </c>
      <c r="G299" s="15" t="s">
        <v>38</v>
      </c>
      <c r="H299" s="12" t="s">
        <v>319</v>
      </c>
      <c r="I299" s="12" t="s">
        <v>48</v>
      </c>
      <c r="J299" s="12" t="s">
        <v>41</v>
      </c>
      <c r="K299" s="12" t="s">
        <v>305</v>
      </c>
    </row>
    <row r="300" ht="15.75" customHeight="1">
      <c r="A300" s="86" t="s">
        <v>226</v>
      </c>
      <c r="B300" s="86" t="s">
        <v>390</v>
      </c>
      <c r="C300" s="12" t="s">
        <v>355</v>
      </c>
      <c r="D300" s="12" t="s">
        <v>356</v>
      </c>
      <c r="E300" s="12" t="s">
        <v>137</v>
      </c>
      <c r="F300" s="12" t="s">
        <v>37</v>
      </c>
      <c r="G300" s="15" t="s">
        <v>38</v>
      </c>
      <c r="H300" s="12" t="s">
        <v>128</v>
      </c>
      <c r="I300" s="12" t="s">
        <v>48</v>
      </c>
      <c r="J300" s="12" t="s">
        <v>357</v>
      </c>
      <c r="K300" s="12" t="s">
        <v>305</v>
      </c>
    </row>
    <row r="301" ht="15.75" customHeight="1">
      <c r="A301" s="86" t="s">
        <v>226</v>
      </c>
      <c r="B301" s="86" t="s">
        <v>390</v>
      </c>
      <c r="C301" s="12" t="s">
        <v>430</v>
      </c>
      <c r="D301" s="12" t="s">
        <v>431</v>
      </c>
      <c r="E301" s="12" t="s">
        <v>108</v>
      </c>
      <c r="F301" s="12" t="s">
        <v>58</v>
      </c>
      <c r="G301" s="15" t="s">
        <v>38</v>
      </c>
      <c r="H301" s="12" t="s">
        <v>128</v>
      </c>
      <c r="I301" s="12" t="s">
        <v>48</v>
      </c>
      <c r="J301" s="12" t="s">
        <v>110</v>
      </c>
      <c r="K301" s="12" t="s">
        <v>305</v>
      </c>
    </row>
    <row r="302" ht="21.0" customHeight="1">
      <c r="A302" s="86" t="s">
        <v>226</v>
      </c>
      <c r="B302" s="86" t="s">
        <v>390</v>
      </c>
      <c r="C302" s="12" t="s">
        <v>432</v>
      </c>
      <c r="D302" s="12" t="s">
        <v>434</v>
      </c>
      <c r="E302" s="12" t="s">
        <v>108</v>
      </c>
      <c r="F302" s="12" t="s">
        <v>58</v>
      </c>
      <c r="G302" s="15" t="s">
        <v>38</v>
      </c>
      <c r="H302" s="12" t="s">
        <v>190</v>
      </c>
      <c r="I302" s="12" t="s">
        <v>48</v>
      </c>
      <c r="J302" s="12" t="s">
        <v>110</v>
      </c>
      <c r="K302" s="12" t="s">
        <v>305</v>
      </c>
    </row>
    <row r="303" ht="15.75" customHeight="1">
      <c r="A303" s="86" t="s">
        <v>226</v>
      </c>
      <c r="B303" s="86" t="s">
        <v>390</v>
      </c>
      <c r="C303" s="12" t="s">
        <v>435</v>
      </c>
      <c r="D303" s="12" t="s">
        <v>436</v>
      </c>
      <c r="E303" s="12" t="s">
        <v>108</v>
      </c>
      <c r="F303" s="12" t="s">
        <v>58</v>
      </c>
      <c r="G303" s="12" t="s">
        <v>40</v>
      </c>
      <c r="H303" s="12" t="s">
        <v>72</v>
      </c>
      <c r="I303" s="12" t="s">
        <v>48</v>
      </c>
      <c r="J303" s="12" t="s">
        <v>437</v>
      </c>
      <c r="K303" s="12" t="s">
        <v>310</v>
      </c>
    </row>
    <row r="304" ht="15.75" customHeight="1">
      <c r="A304" s="86" t="s">
        <v>226</v>
      </c>
      <c r="B304" s="86" t="s">
        <v>390</v>
      </c>
      <c r="C304" s="12" t="s">
        <v>438</v>
      </c>
      <c r="D304" s="12" t="s">
        <v>439</v>
      </c>
      <c r="E304" s="12" t="s">
        <v>108</v>
      </c>
      <c r="F304" s="12" t="s">
        <v>58</v>
      </c>
      <c r="G304" s="12" t="s">
        <v>40</v>
      </c>
      <c r="H304" s="12" t="s">
        <v>72</v>
      </c>
      <c r="I304" s="12" t="s">
        <v>48</v>
      </c>
      <c r="J304" s="12" t="s">
        <v>110</v>
      </c>
      <c r="K304" s="12" t="s">
        <v>310</v>
      </c>
    </row>
    <row r="305" ht="15.75" customHeight="1">
      <c r="A305" s="86" t="s">
        <v>226</v>
      </c>
      <c r="B305" s="86" t="s">
        <v>390</v>
      </c>
      <c r="C305" s="12" t="s">
        <v>441</v>
      </c>
      <c r="D305" s="12" t="s">
        <v>442</v>
      </c>
      <c r="E305" s="12" t="s">
        <v>108</v>
      </c>
      <c r="F305" s="12" t="s">
        <v>58</v>
      </c>
      <c r="G305" s="12" t="s">
        <v>40</v>
      </c>
      <c r="H305" s="12" t="s">
        <v>72</v>
      </c>
      <c r="I305" s="12" t="s">
        <v>48</v>
      </c>
      <c r="J305" s="12" t="s">
        <v>110</v>
      </c>
      <c r="K305" s="12" t="s">
        <v>310</v>
      </c>
    </row>
    <row r="306" ht="15.75" customHeight="1">
      <c r="A306" s="86" t="s">
        <v>226</v>
      </c>
      <c r="B306" s="86" t="s">
        <v>390</v>
      </c>
      <c r="C306" s="12" t="s">
        <v>323</v>
      </c>
      <c r="D306" s="12" t="s">
        <v>324</v>
      </c>
      <c r="E306" s="12" t="s">
        <v>137</v>
      </c>
      <c r="F306" s="12" t="s">
        <v>37</v>
      </c>
      <c r="G306" s="12" t="s">
        <v>40</v>
      </c>
      <c r="H306" s="12" t="s">
        <v>325</v>
      </c>
      <c r="I306" s="12" t="s">
        <v>48</v>
      </c>
      <c r="J306" s="12" t="s">
        <v>327</v>
      </c>
      <c r="K306" s="12" t="s">
        <v>310</v>
      </c>
    </row>
    <row r="307" ht="15.75" customHeight="1">
      <c r="A307" s="86" t="s">
        <v>226</v>
      </c>
      <c r="B307" s="86" t="s">
        <v>390</v>
      </c>
      <c r="C307" s="12" t="s">
        <v>443</v>
      </c>
      <c r="D307" s="12" t="s">
        <v>444</v>
      </c>
      <c r="E307" s="12" t="s">
        <v>108</v>
      </c>
      <c r="F307" s="12" t="s">
        <v>58</v>
      </c>
      <c r="G307" s="12" t="s">
        <v>40</v>
      </c>
      <c r="H307" s="12" t="s">
        <v>72</v>
      </c>
      <c r="I307" s="12" t="s">
        <v>48</v>
      </c>
      <c r="J307" s="12" t="s">
        <v>110</v>
      </c>
      <c r="K307" s="12" t="s">
        <v>310</v>
      </c>
    </row>
    <row r="308" ht="15.75" customHeight="1">
      <c r="A308" s="86" t="s">
        <v>226</v>
      </c>
      <c r="B308" s="86" t="s">
        <v>390</v>
      </c>
      <c r="C308" s="12" t="s">
        <v>445</v>
      </c>
      <c r="D308" s="12" t="s">
        <v>446</v>
      </c>
      <c r="E308" s="12" t="s">
        <v>108</v>
      </c>
      <c r="F308" s="12" t="s">
        <v>58</v>
      </c>
      <c r="G308" s="12" t="s">
        <v>40</v>
      </c>
      <c r="H308" s="12" t="s">
        <v>72</v>
      </c>
      <c r="I308" s="12" t="s">
        <v>48</v>
      </c>
      <c r="J308" s="12" t="s">
        <v>110</v>
      </c>
      <c r="K308" s="12" t="s">
        <v>310</v>
      </c>
    </row>
    <row r="309" ht="15.75" customHeight="1">
      <c r="A309" s="86" t="s">
        <v>226</v>
      </c>
      <c r="B309" s="86" t="s">
        <v>390</v>
      </c>
      <c r="C309" s="12" t="s">
        <v>447</v>
      </c>
      <c r="D309" s="12" t="s">
        <v>448</v>
      </c>
      <c r="E309" s="12" t="s">
        <v>108</v>
      </c>
      <c r="F309" s="12" t="s">
        <v>58</v>
      </c>
      <c r="G309" s="12" t="s">
        <v>40</v>
      </c>
      <c r="H309" s="12" t="s">
        <v>72</v>
      </c>
      <c r="I309" s="12" t="s">
        <v>48</v>
      </c>
      <c r="J309" s="12" t="s">
        <v>110</v>
      </c>
      <c r="K309" s="12" t="s">
        <v>310</v>
      </c>
    </row>
    <row r="310" ht="15.75" customHeight="1">
      <c r="A310" s="86" t="s">
        <v>226</v>
      </c>
      <c r="B310" s="86" t="s">
        <v>390</v>
      </c>
      <c r="C310" s="12" t="s">
        <v>449</v>
      </c>
      <c r="D310" s="12" t="s">
        <v>450</v>
      </c>
      <c r="E310" s="12" t="s">
        <v>108</v>
      </c>
      <c r="F310" s="12" t="s">
        <v>58</v>
      </c>
      <c r="G310" s="12" t="s">
        <v>40</v>
      </c>
      <c r="H310" s="12" t="s">
        <v>190</v>
      </c>
      <c r="I310" s="12" t="s">
        <v>48</v>
      </c>
      <c r="J310" s="12" t="s">
        <v>110</v>
      </c>
      <c r="K310" s="12" t="s">
        <v>310</v>
      </c>
    </row>
    <row r="311" ht="15.75" customHeight="1">
      <c r="A311" s="86" t="s">
        <v>226</v>
      </c>
      <c r="B311" s="86" t="s">
        <v>390</v>
      </c>
      <c r="C311" s="12" t="s">
        <v>451</v>
      </c>
      <c r="D311" s="12" t="s">
        <v>452</v>
      </c>
      <c r="E311" s="12" t="s">
        <v>108</v>
      </c>
      <c r="F311" s="12" t="s">
        <v>58</v>
      </c>
      <c r="G311" s="12" t="s">
        <v>40</v>
      </c>
      <c r="H311" s="12" t="s">
        <v>138</v>
      </c>
      <c r="I311" s="12" t="s">
        <v>48</v>
      </c>
      <c r="J311" s="12" t="s">
        <v>453</v>
      </c>
      <c r="K311" s="12" t="s">
        <v>310</v>
      </c>
    </row>
    <row r="312" ht="15.75" customHeight="1">
      <c r="A312" s="86" t="s">
        <v>226</v>
      </c>
      <c r="B312" s="86" t="s">
        <v>391</v>
      </c>
      <c r="C312" s="12" t="s">
        <v>33</v>
      </c>
      <c r="D312" s="12" t="s">
        <v>165</v>
      </c>
      <c r="E312" s="12" t="s">
        <v>45</v>
      </c>
      <c r="F312" s="12" t="s">
        <v>37</v>
      </c>
      <c r="G312" s="15" t="s">
        <v>38</v>
      </c>
      <c r="H312" s="12" t="s">
        <v>64</v>
      </c>
      <c r="I312" s="12" t="s">
        <v>48</v>
      </c>
      <c r="J312" s="12" t="s">
        <v>41</v>
      </c>
      <c r="K312" s="12" t="s">
        <v>305</v>
      </c>
    </row>
    <row r="313" ht="15.75" customHeight="1">
      <c r="A313" s="86" t="s">
        <v>226</v>
      </c>
      <c r="B313" s="86" t="s">
        <v>391</v>
      </c>
      <c r="C313" s="12" t="s">
        <v>33</v>
      </c>
      <c r="D313" s="12" t="s">
        <v>112</v>
      </c>
      <c r="E313" s="12" t="s">
        <v>113</v>
      </c>
      <c r="F313" s="12" t="s">
        <v>37</v>
      </c>
      <c r="G313" s="15" t="s">
        <v>38</v>
      </c>
      <c r="H313" s="12" t="s">
        <v>114</v>
      </c>
      <c r="I313" s="12" t="s">
        <v>48</v>
      </c>
      <c r="J313" s="12" t="s">
        <v>41</v>
      </c>
      <c r="K313" s="12" t="s">
        <v>305</v>
      </c>
    </row>
    <row r="314" ht="15.75" customHeight="1">
      <c r="A314" s="86" t="s">
        <v>226</v>
      </c>
      <c r="B314" s="86" t="s">
        <v>391</v>
      </c>
      <c r="C314" s="12" t="s">
        <v>33</v>
      </c>
      <c r="D314" s="12" t="s">
        <v>196</v>
      </c>
      <c r="E314" s="12" t="s">
        <v>197</v>
      </c>
      <c r="F314" s="12" t="s">
        <v>37</v>
      </c>
      <c r="G314" s="15" t="s">
        <v>38</v>
      </c>
      <c r="H314" s="12" t="s">
        <v>128</v>
      </c>
      <c r="I314" s="12" t="s">
        <v>48</v>
      </c>
      <c r="J314" s="12" t="s">
        <v>41</v>
      </c>
      <c r="K314" s="12" t="s">
        <v>305</v>
      </c>
    </row>
    <row r="315" ht="15.75" customHeight="1">
      <c r="A315" s="86" t="s">
        <v>226</v>
      </c>
      <c r="B315" s="86" t="s">
        <v>391</v>
      </c>
      <c r="C315" s="12" t="s">
        <v>123</v>
      </c>
      <c r="D315" s="12" t="s">
        <v>125</v>
      </c>
      <c r="E315" s="12" t="s">
        <v>62</v>
      </c>
      <c r="F315" s="12" t="s">
        <v>63</v>
      </c>
      <c r="G315" s="15" t="s">
        <v>38</v>
      </c>
      <c r="H315" s="12" t="s">
        <v>128</v>
      </c>
      <c r="I315" s="12" t="s">
        <v>48</v>
      </c>
      <c r="J315" s="12" t="s">
        <v>129</v>
      </c>
      <c r="K315" s="12" t="s">
        <v>305</v>
      </c>
    </row>
    <row r="316" ht="15.75" customHeight="1">
      <c r="A316" s="86" t="s">
        <v>226</v>
      </c>
      <c r="B316" s="86" t="s">
        <v>391</v>
      </c>
      <c r="C316" s="12" t="s">
        <v>172</v>
      </c>
      <c r="D316" s="12" t="s">
        <v>173</v>
      </c>
      <c r="E316" s="12" t="s">
        <v>62</v>
      </c>
      <c r="F316" s="12" t="s">
        <v>63</v>
      </c>
      <c r="G316" s="15" t="s">
        <v>38</v>
      </c>
      <c r="H316" s="12" t="s">
        <v>64</v>
      </c>
      <c r="I316" s="12" t="s">
        <v>48</v>
      </c>
      <c r="J316" s="12" t="s">
        <v>174</v>
      </c>
      <c r="K316" s="12" t="s">
        <v>305</v>
      </c>
    </row>
    <row r="317" ht="15.75" customHeight="1">
      <c r="A317" s="86" t="s">
        <v>226</v>
      </c>
      <c r="B317" s="86" t="s">
        <v>391</v>
      </c>
      <c r="C317" s="12" t="s">
        <v>33</v>
      </c>
      <c r="D317" s="12" t="s">
        <v>35</v>
      </c>
      <c r="E317" s="12" t="s">
        <v>36</v>
      </c>
      <c r="F317" s="12" t="s">
        <v>37</v>
      </c>
      <c r="G317" s="12" t="s">
        <v>40</v>
      </c>
      <c r="H317" s="12" t="s">
        <v>39</v>
      </c>
      <c r="I317" s="12" t="s">
        <v>40</v>
      </c>
      <c r="J317" s="12" t="s">
        <v>41</v>
      </c>
      <c r="K317" s="12" t="s">
        <v>310</v>
      </c>
    </row>
    <row r="318" ht="15.75" customHeight="1">
      <c r="A318" s="86" t="s">
        <v>226</v>
      </c>
      <c r="B318" s="86" t="s">
        <v>391</v>
      </c>
      <c r="C318" s="12" t="s">
        <v>60</v>
      </c>
      <c r="D318" s="12" t="s">
        <v>61</v>
      </c>
      <c r="E318" s="12" t="s">
        <v>62</v>
      </c>
      <c r="F318" s="12" t="s">
        <v>63</v>
      </c>
      <c r="G318" s="12" t="s">
        <v>40</v>
      </c>
      <c r="H318" s="12" t="s">
        <v>64</v>
      </c>
      <c r="I318" s="12" t="s">
        <v>48</v>
      </c>
      <c r="J318" s="12" t="s">
        <v>65</v>
      </c>
      <c r="K318" s="12" t="s">
        <v>310</v>
      </c>
    </row>
    <row r="319" ht="15.75" customHeight="1">
      <c r="A319" s="86" t="s">
        <v>226</v>
      </c>
      <c r="B319" s="86" t="s">
        <v>391</v>
      </c>
      <c r="C319" s="12" t="s">
        <v>154</v>
      </c>
      <c r="D319" s="12" t="s">
        <v>155</v>
      </c>
      <c r="E319" s="12" t="s">
        <v>156</v>
      </c>
      <c r="F319" s="12" t="s">
        <v>37</v>
      </c>
      <c r="G319" s="12" t="s">
        <v>40</v>
      </c>
      <c r="H319" s="12" t="s">
        <v>68</v>
      </c>
      <c r="I319" s="12" t="s">
        <v>40</v>
      </c>
      <c r="J319" s="12" t="s">
        <v>157</v>
      </c>
      <c r="K319" s="12" t="s">
        <v>310</v>
      </c>
    </row>
    <row r="320" ht="15.75" customHeight="1">
      <c r="A320" s="86" t="s">
        <v>226</v>
      </c>
      <c r="B320" s="86" t="s">
        <v>392</v>
      </c>
      <c r="C320" s="12" t="s">
        <v>33</v>
      </c>
      <c r="D320" s="12" t="s">
        <v>456</v>
      </c>
      <c r="E320" s="12" t="s">
        <v>45</v>
      </c>
      <c r="F320" s="12" t="s">
        <v>37</v>
      </c>
      <c r="G320" s="15" t="s">
        <v>38</v>
      </c>
      <c r="H320" s="12" t="s">
        <v>457</v>
      </c>
      <c r="I320" s="12" t="s">
        <v>48</v>
      </c>
      <c r="J320" s="12" t="s">
        <v>41</v>
      </c>
      <c r="K320" s="12" t="s">
        <v>305</v>
      </c>
    </row>
    <row r="321" ht="15.75" customHeight="1">
      <c r="A321" s="86" t="s">
        <v>226</v>
      </c>
      <c r="B321" s="86" t="s">
        <v>392</v>
      </c>
      <c r="C321" s="12" t="s">
        <v>33</v>
      </c>
      <c r="D321" s="12" t="s">
        <v>458</v>
      </c>
      <c r="E321" s="12" t="s">
        <v>53</v>
      </c>
      <c r="F321" s="12" t="s">
        <v>37</v>
      </c>
      <c r="G321" s="15" t="s">
        <v>38</v>
      </c>
      <c r="H321" s="12" t="s">
        <v>335</v>
      </c>
      <c r="I321" s="12" t="s">
        <v>48</v>
      </c>
      <c r="J321" s="12" t="s">
        <v>41</v>
      </c>
      <c r="K321" s="12" t="s">
        <v>305</v>
      </c>
    </row>
    <row r="322" ht="15.75" customHeight="1">
      <c r="A322" s="86" t="s">
        <v>226</v>
      </c>
      <c r="B322" s="86" t="s">
        <v>392</v>
      </c>
      <c r="C322" s="12" t="s">
        <v>33</v>
      </c>
      <c r="D322" s="12" t="s">
        <v>230</v>
      </c>
      <c r="E322" s="12" t="s">
        <v>53</v>
      </c>
      <c r="F322" s="12" t="s">
        <v>37</v>
      </c>
      <c r="G322" s="15" t="s">
        <v>38</v>
      </c>
      <c r="H322" s="12" t="s">
        <v>231</v>
      </c>
      <c r="I322" s="12" t="s">
        <v>48</v>
      </c>
      <c r="J322" s="12" t="s">
        <v>41</v>
      </c>
      <c r="K322" s="12" t="s">
        <v>305</v>
      </c>
    </row>
    <row r="323" ht="15.75" customHeight="1">
      <c r="A323" s="86" t="s">
        <v>226</v>
      </c>
      <c r="B323" s="86" t="s">
        <v>392</v>
      </c>
      <c r="C323" s="12" t="s">
        <v>256</v>
      </c>
      <c r="D323" s="12" t="s">
        <v>257</v>
      </c>
      <c r="E323" s="12" t="s">
        <v>57</v>
      </c>
      <c r="F323" s="12" t="s">
        <v>58</v>
      </c>
      <c r="G323" s="15" t="s">
        <v>38</v>
      </c>
      <c r="H323" s="12" t="s">
        <v>211</v>
      </c>
      <c r="I323" s="12" t="s">
        <v>48</v>
      </c>
      <c r="J323" s="12" t="s">
        <v>258</v>
      </c>
      <c r="K323" s="12" t="s">
        <v>305</v>
      </c>
    </row>
    <row r="324" ht="15.75" customHeight="1">
      <c r="A324" s="86" t="s">
        <v>226</v>
      </c>
      <c r="B324" s="86" t="s">
        <v>392</v>
      </c>
      <c r="C324" s="12" t="s">
        <v>209</v>
      </c>
      <c r="D324" s="12" t="s">
        <v>210</v>
      </c>
      <c r="E324" s="12" t="s">
        <v>57</v>
      </c>
      <c r="F324" s="12" t="s">
        <v>58</v>
      </c>
      <c r="G324" s="15" t="s">
        <v>38</v>
      </c>
      <c r="H324" s="12" t="s">
        <v>211</v>
      </c>
      <c r="I324" s="12" t="s">
        <v>48</v>
      </c>
      <c r="J324" s="12" t="s">
        <v>212</v>
      </c>
      <c r="K324" s="12" t="s">
        <v>305</v>
      </c>
    </row>
    <row r="325" ht="15.75" customHeight="1">
      <c r="A325" s="86" t="s">
        <v>226</v>
      </c>
      <c r="B325" s="86" t="s">
        <v>392</v>
      </c>
      <c r="C325" s="12" t="s">
        <v>33</v>
      </c>
      <c r="D325" s="12" t="s">
        <v>213</v>
      </c>
      <c r="E325" s="12" t="s">
        <v>45</v>
      </c>
      <c r="F325" s="12" t="s">
        <v>37</v>
      </c>
      <c r="G325" s="12" t="s">
        <v>40</v>
      </c>
      <c r="H325" s="12" t="s">
        <v>214</v>
      </c>
      <c r="I325" s="12" t="s">
        <v>48</v>
      </c>
      <c r="J325" s="12"/>
      <c r="K325" s="12" t="s">
        <v>310</v>
      </c>
    </row>
    <row r="326" ht="15.75" customHeight="1">
      <c r="A326" s="86" t="s">
        <v>226</v>
      </c>
      <c r="B326" s="86" t="s">
        <v>392</v>
      </c>
      <c r="C326" s="12" t="s">
        <v>33</v>
      </c>
      <c r="D326" s="12" t="s">
        <v>216</v>
      </c>
      <c r="E326" s="12" t="s">
        <v>45</v>
      </c>
      <c r="F326" s="12" t="s">
        <v>37</v>
      </c>
      <c r="G326" s="12" t="s">
        <v>40</v>
      </c>
      <c r="H326" s="12" t="s">
        <v>214</v>
      </c>
      <c r="I326" s="12" t="s">
        <v>48</v>
      </c>
      <c r="J326" s="12" t="s">
        <v>41</v>
      </c>
      <c r="K326" s="12" t="s">
        <v>310</v>
      </c>
    </row>
    <row r="327" ht="15.75" customHeight="1">
      <c r="A327" s="86" t="s">
        <v>226</v>
      </c>
      <c r="B327" s="86" t="s">
        <v>392</v>
      </c>
      <c r="C327" s="12" t="s">
        <v>33</v>
      </c>
      <c r="D327" s="12" t="s">
        <v>218</v>
      </c>
      <c r="E327" s="12" t="s">
        <v>219</v>
      </c>
      <c r="F327" s="12" t="s">
        <v>37</v>
      </c>
      <c r="G327" s="12" t="s">
        <v>40</v>
      </c>
      <c r="H327" s="12" t="s">
        <v>229</v>
      </c>
      <c r="I327" s="12" t="s">
        <v>38</v>
      </c>
      <c r="J327" s="12" t="s">
        <v>41</v>
      </c>
      <c r="K327" s="12" t="s">
        <v>310</v>
      </c>
    </row>
    <row r="328" ht="15.75" customHeight="1">
      <c r="A328" s="86" t="s">
        <v>226</v>
      </c>
      <c r="B328" s="86" t="s">
        <v>392</v>
      </c>
      <c r="C328" s="12" t="s">
        <v>33</v>
      </c>
      <c r="D328" s="12" t="s">
        <v>459</v>
      </c>
      <c r="E328" s="12" t="s">
        <v>53</v>
      </c>
      <c r="F328" s="12" t="s">
        <v>37</v>
      </c>
      <c r="G328" s="12" t="s">
        <v>40</v>
      </c>
      <c r="H328" s="12" t="s">
        <v>460</v>
      </c>
      <c r="I328" s="12" t="s">
        <v>48</v>
      </c>
      <c r="J328" s="12" t="s">
        <v>41</v>
      </c>
      <c r="K328" s="12" t="s">
        <v>310</v>
      </c>
    </row>
    <row r="329" ht="15.75" customHeight="1">
      <c r="A329" s="86" t="s">
        <v>226</v>
      </c>
      <c r="B329" s="86" t="s">
        <v>392</v>
      </c>
      <c r="C329" s="12" t="s">
        <v>203</v>
      </c>
      <c r="D329" s="12" t="s">
        <v>204</v>
      </c>
      <c r="E329" s="12" t="s">
        <v>205</v>
      </c>
      <c r="F329" s="12" t="s">
        <v>58</v>
      </c>
      <c r="G329" s="12" t="s">
        <v>40</v>
      </c>
      <c r="H329" s="12" t="s">
        <v>206</v>
      </c>
      <c r="I329" s="12" t="s">
        <v>48</v>
      </c>
      <c r="J329" s="12" t="s">
        <v>207</v>
      </c>
      <c r="K329" s="12" t="s">
        <v>310</v>
      </c>
    </row>
    <row r="330" ht="15.75" customHeight="1">
      <c r="A330" s="86" t="s">
        <v>226</v>
      </c>
      <c r="B330" s="86" t="s">
        <v>392</v>
      </c>
      <c r="C330" s="12" t="s">
        <v>461</v>
      </c>
      <c r="D330" s="12" t="s">
        <v>462</v>
      </c>
      <c r="E330" s="12" t="s">
        <v>108</v>
      </c>
      <c r="F330" s="12" t="s">
        <v>58</v>
      </c>
      <c r="G330" s="12" t="s">
        <v>40</v>
      </c>
      <c r="H330" s="12" t="s">
        <v>214</v>
      </c>
      <c r="I330" s="12" t="s">
        <v>48</v>
      </c>
      <c r="J330" s="12" t="s">
        <v>110</v>
      </c>
      <c r="K330" s="12" t="s">
        <v>310</v>
      </c>
    </row>
    <row r="331" ht="15.75" customHeight="1">
      <c r="A331" s="86" t="s">
        <v>226</v>
      </c>
      <c r="B331" s="86" t="s">
        <v>393</v>
      </c>
      <c r="C331" s="12" t="s">
        <v>33</v>
      </c>
      <c r="D331" s="12" t="s">
        <v>165</v>
      </c>
      <c r="E331" s="12" t="s">
        <v>45</v>
      </c>
      <c r="F331" s="12" t="s">
        <v>37</v>
      </c>
      <c r="G331" s="15" t="s">
        <v>38</v>
      </c>
      <c r="H331" s="12" t="s">
        <v>64</v>
      </c>
      <c r="I331" s="12" t="s">
        <v>48</v>
      </c>
      <c r="J331" s="12" t="s">
        <v>41</v>
      </c>
      <c r="K331" s="12" t="s">
        <v>463</v>
      </c>
    </row>
    <row r="332" ht="15.75" customHeight="1">
      <c r="A332" s="86" t="s">
        <v>226</v>
      </c>
      <c r="B332" s="86" t="s">
        <v>393</v>
      </c>
      <c r="C332" s="12" t="s">
        <v>33</v>
      </c>
      <c r="D332" s="12" t="s">
        <v>464</v>
      </c>
      <c r="E332" s="12" t="s">
        <v>45</v>
      </c>
      <c r="F332" s="12" t="s">
        <v>37</v>
      </c>
      <c r="G332" s="15" t="s">
        <v>38</v>
      </c>
      <c r="H332" s="12" t="s">
        <v>264</v>
      </c>
      <c r="I332" s="12" t="s">
        <v>40</v>
      </c>
      <c r="J332" s="12" t="s">
        <v>41</v>
      </c>
      <c r="K332" s="12" t="s">
        <v>463</v>
      </c>
    </row>
    <row r="333" ht="15.75" customHeight="1">
      <c r="A333" s="86" t="s">
        <v>226</v>
      </c>
      <c r="B333" s="86" t="s">
        <v>393</v>
      </c>
      <c r="C333" s="12" t="s">
        <v>33</v>
      </c>
      <c r="D333" s="12" t="s">
        <v>117</v>
      </c>
      <c r="E333" s="12" t="s">
        <v>53</v>
      </c>
      <c r="F333" s="12" t="s">
        <v>37</v>
      </c>
      <c r="G333" s="15" t="s">
        <v>38</v>
      </c>
      <c r="H333" s="12" t="s">
        <v>118</v>
      </c>
      <c r="I333" s="12" t="s">
        <v>40</v>
      </c>
      <c r="J333" s="12" t="s">
        <v>41</v>
      </c>
      <c r="K333" s="12" t="s">
        <v>463</v>
      </c>
    </row>
    <row r="334" ht="15.75" customHeight="1">
      <c r="A334" s="86" t="s">
        <v>226</v>
      </c>
      <c r="B334" s="86" t="s">
        <v>393</v>
      </c>
      <c r="C334" s="12" t="s">
        <v>60</v>
      </c>
      <c r="D334" s="12" t="s">
        <v>61</v>
      </c>
      <c r="E334" s="12" t="s">
        <v>62</v>
      </c>
      <c r="F334" s="12" t="s">
        <v>63</v>
      </c>
      <c r="G334" s="15" t="s">
        <v>38</v>
      </c>
      <c r="H334" s="12" t="s">
        <v>64</v>
      </c>
      <c r="I334" s="12" t="s">
        <v>48</v>
      </c>
      <c r="J334" s="12" t="s">
        <v>65</v>
      </c>
      <c r="K334" s="12" t="s">
        <v>463</v>
      </c>
    </row>
    <row r="335" ht="15.75" customHeight="1">
      <c r="A335" s="86" t="s">
        <v>226</v>
      </c>
      <c r="B335" s="86" t="s">
        <v>393</v>
      </c>
      <c r="C335" s="12" t="s">
        <v>66</v>
      </c>
      <c r="D335" s="12" t="s">
        <v>67</v>
      </c>
      <c r="E335" s="12" t="s">
        <v>62</v>
      </c>
      <c r="F335" s="12" t="s">
        <v>63</v>
      </c>
      <c r="G335" s="15" t="s">
        <v>38</v>
      </c>
      <c r="H335" s="12" t="s">
        <v>68</v>
      </c>
      <c r="I335" s="12" t="s">
        <v>48</v>
      </c>
      <c r="J335" s="12" t="s">
        <v>69</v>
      </c>
      <c r="K335" s="12" t="s">
        <v>463</v>
      </c>
    </row>
    <row r="336" ht="15.75" customHeight="1">
      <c r="A336" s="86" t="s">
        <v>226</v>
      </c>
      <c r="B336" s="86" t="s">
        <v>393</v>
      </c>
      <c r="C336" s="12" t="s">
        <v>172</v>
      </c>
      <c r="D336" s="12" t="s">
        <v>173</v>
      </c>
      <c r="E336" s="12" t="s">
        <v>62</v>
      </c>
      <c r="F336" s="12" t="s">
        <v>63</v>
      </c>
      <c r="G336" s="15" t="s">
        <v>38</v>
      </c>
      <c r="H336" s="12" t="s">
        <v>64</v>
      </c>
      <c r="I336" s="12" t="s">
        <v>48</v>
      </c>
      <c r="J336" s="12" t="s">
        <v>174</v>
      </c>
      <c r="K336" s="12" t="s">
        <v>463</v>
      </c>
    </row>
    <row r="337" ht="15.75" customHeight="1">
      <c r="A337" s="86" t="s">
        <v>226</v>
      </c>
      <c r="B337" s="86" t="s">
        <v>393</v>
      </c>
      <c r="C337" s="12" t="s">
        <v>405</v>
      </c>
      <c r="D337" s="12" t="s">
        <v>406</v>
      </c>
      <c r="E337" s="12" t="s">
        <v>57</v>
      </c>
      <c r="F337" s="12" t="s">
        <v>58</v>
      </c>
      <c r="G337" s="15" t="s">
        <v>38</v>
      </c>
      <c r="H337" s="12" t="s">
        <v>68</v>
      </c>
      <c r="I337" s="12" t="s">
        <v>48</v>
      </c>
      <c r="J337" s="12" t="s">
        <v>408</v>
      </c>
      <c r="K337" s="12" t="s">
        <v>463</v>
      </c>
    </row>
    <row r="338" ht="15.75" customHeight="1">
      <c r="A338" s="86" t="s">
        <v>226</v>
      </c>
      <c r="B338" s="86" t="s">
        <v>393</v>
      </c>
      <c r="C338" s="12" t="s">
        <v>358</v>
      </c>
      <c r="D338" s="12" t="s">
        <v>359</v>
      </c>
      <c r="E338" s="12" t="s">
        <v>57</v>
      </c>
      <c r="F338" s="12" t="s">
        <v>58</v>
      </c>
      <c r="G338" s="15" t="s">
        <v>38</v>
      </c>
      <c r="H338" s="12" t="s">
        <v>68</v>
      </c>
      <c r="I338" s="12" t="s">
        <v>48</v>
      </c>
      <c r="J338" s="12" t="s">
        <v>360</v>
      </c>
      <c r="K338" s="12" t="s">
        <v>463</v>
      </c>
    </row>
    <row r="339" ht="15.75" customHeight="1">
      <c r="A339" s="86" t="s">
        <v>226</v>
      </c>
      <c r="B339" s="86" t="s">
        <v>393</v>
      </c>
      <c r="C339" s="12" t="s">
        <v>140</v>
      </c>
      <c r="D339" s="12" t="s">
        <v>141</v>
      </c>
      <c r="E339" s="12" t="s">
        <v>137</v>
      </c>
      <c r="F339" s="12" t="s">
        <v>37</v>
      </c>
      <c r="G339" s="15" t="s">
        <v>38</v>
      </c>
      <c r="H339" s="12" t="s">
        <v>68</v>
      </c>
      <c r="I339" s="12" t="s">
        <v>48</v>
      </c>
      <c r="J339" s="12" t="s">
        <v>143</v>
      </c>
      <c r="K339" s="12" t="s">
        <v>463</v>
      </c>
    </row>
    <row r="340" ht="15.75" customHeight="1">
      <c r="A340" s="86" t="s">
        <v>226</v>
      </c>
      <c r="B340" s="86" t="s">
        <v>393</v>
      </c>
      <c r="C340" s="12" t="s">
        <v>361</v>
      </c>
      <c r="D340" s="12" t="s">
        <v>362</v>
      </c>
      <c r="E340" s="12" t="s">
        <v>205</v>
      </c>
      <c r="F340" s="12" t="s">
        <v>58</v>
      </c>
      <c r="G340" s="15" t="s">
        <v>38</v>
      </c>
      <c r="H340" s="12" t="s">
        <v>68</v>
      </c>
      <c r="I340" s="12" t="s">
        <v>48</v>
      </c>
      <c r="J340" s="12" t="s">
        <v>363</v>
      </c>
      <c r="K340" s="12" t="s">
        <v>463</v>
      </c>
    </row>
    <row r="341" ht="15.75" customHeight="1">
      <c r="A341" s="86" t="s">
        <v>226</v>
      </c>
      <c r="B341" s="86" t="s">
        <v>393</v>
      </c>
      <c r="C341" s="12" t="s">
        <v>465</v>
      </c>
      <c r="D341" s="12" t="s">
        <v>466</v>
      </c>
      <c r="E341" s="12" t="s">
        <v>156</v>
      </c>
      <c r="F341" s="12" t="s">
        <v>37</v>
      </c>
      <c r="G341" s="15" t="s">
        <v>38</v>
      </c>
      <c r="H341" s="12" t="s">
        <v>264</v>
      </c>
      <c r="I341" s="12" t="s">
        <v>48</v>
      </c>
      <c r="J341" s="12" t="s">
        <v>467</v>
      </c>
      <c r="K341" s="12" t="s">
        <v>463</v>
      </c>
    </row>
    <row r="342" ht="15.75" customHeight="1">
      <c r="A342" s="86" t="s">
        <v>226</v>
      </c>
      <c r="B342" s="86" t="s">
        <v>393</v>
      </c>
      <c r="C342" s="12" t="s">
        <v>364</v>
      </c>
      <c r="D342" s="12" t="s">
        <v>365</v>
      </c>
      <c r="E342" s="12" t="s">
        <v>57</v>
      </c>
      <c r="F342" s="12" t="s">
        <v>58</v>
      </c>
      <c r="G342" s="15" t="s">
        <v>38</v>
      </c>
      <c r="H342" s="12" t="s">
        <v>68</v>
      </c>
      <c r="I342" s="12" t="s">
        <v>48</v>
      </c>
      <c r="J342" s="12" t="s">
        <v>366</v>
      </c>
      <c r="K342" s="12" t="s">
        <v>463</v>
      </c>
    </row>
    <row r="343" ht="15.75" customHeight="1">
      <c r="A343" s="86" t="s">
        <v>226</v>
      </c>
      <c r="B343" s="86" t="s">
        <v>393</v>
      </c>
      <c r="C343" s="12" t="s">
        <v>468</v>
      </c>
      <c r="D343" s="12" t="s">
        <v>469</v>
      </c>
      <c r="E343" s="12" t="s">
        <v>156</v>
      </c>
      <c r="F343" s="12" t="s">
        <v>37</v>
      </c>
      <c r="G343" s="15" t="s">
        <v>38</v>
      </c>
      <c r="H343" s="12" t="s">
        <v>264</v>
      </c>
      <c r="I343" s="12" t="s">
        <v>48</v>
      </c>
      <c r="J343" s="12" t="s">
        <v>470</v>
      </c>
      <c r="K343" s="12" t="s">
        <v>463</v>
      </c>
    </row>
    <row r="344" ht="15.75" customHeight="1">
      <c r="A344" s="86" t="s">
        <v>226</v>
      </c>
      <c r="B344" s="86" t="s">
        <v>393</v>
      </c>
      <c r="C344" s="12" t="s">
        <v>409</v>
      </c>
      <c r="D344" s="12" t="s">
        <v>410</v>
      </c>
      <c r="E344" s="12" t="s">
        <v>205</v>
      </c>
      <c r="F344" s="12" t="s">
        <v>58</v>
      </c>
      <c r="G344" s="15" t="s">
        <v>38</v>
      </c>
      <c r="H344" s="12" t="s">
        <v>68</v>
      </c>
      <c r="I344" s="12" t="s">
        <v>48</v>
      </c>
      <c r="J344" s="12" t="s">
        <v>412</v>
      </c>
      <c r="K344" s="12" t="s">
        <v>463</v>
      </c>
    </row>
    <row r="345" ht="15.75" customHeight="1">
      <c r="A345" s="86" t="s">
        <v>226</v>
      </c>
      <c r="B345" s="86" t="s">
        <v>393</v>
      </c>
      <c r="C345" s="12" t="s">
        <v>320</v>
      </c>
      <c r="D345" s="12" t="s">
        <v>321</v>
      </c>
      <c r="E345" s="12" t="s">
        <v>205</v>
      </c>
      <c r="F345" s="12" t="s">
        <v>58</v>
      </c>
      <c r="G345" s="15" t="s">
        <v>38</v>
      </c>
      <c r="H345" s="12" t="s">
        <v>68</v>
      </c>
      <c r="I345" s="12" t="s">
        <v>48</v>
      </c>
      <c r="J345" s="12" t="s">
        <v>322</v>
      </c>
      <c r="K345" s="12" t="s">
        <v>463</v>
      </c>
    </row>
    <row r="346" ht="15.75" customHeight="1">
      <c r="A346" s="86" t="s">
        <v>226</v>
      </c>
      <c r="B346" s="86" t="s">
        <v>393</v>
      </c>
      <c r="C346" s="12" t="s">
        <v>471</v>
      </c>
      <c r="D346" s="12" t="s">
        <v>472</v>
      </c>
      <c r="E346" s="12" t="s">
        <v>156</v>
      </c>
      <c r="F346" s="12" t="s">
        <v>37</v>
      </c>
      <c r="G346" s="15" t="s">
        <v>38</v>
      </c>
      <c r="H346" s="12" t="s">
        <v>264</v>
      </c>
      <c r="I346" s="12" t="s">
        <v>48</v>
      </c>
      <c r="J346" s="12" t="s">
        <v>473</v>
      </c>
      <c r="K346" s="12" t="s">
        <v>463</v>
      </c>
    </row>
    <row r="347" ht="15.75" customHeight="1">
      <c r="A347" s="86" t="s">
        <v>226</v>
      </c>
      <c r="B347" s="86" t="s">
        <v>393</v>
      </c>
      <c r="C347" s="12" t="s">
        <v>323</v>
      </c>
      <c r="D347" s="12" t="s">
        <v>324</v>
      </c>
      <c r="E347" s="12" t="s">
        <v>137</v>
      </c>
      <c r="F347" s="12" t="s">
        <v>37</v>
      </c>
      <c r="G347" s="15" t="s">
        <v>38</v>
      </c>
      <c r="H347" s="12" t="s">
        <v>325</v>
      </c>
      <c r="I347" s="12" t="s">
        <v>48</v>
      </c>
      <c r="J347" s="12" t="s">
        <v>327</v>
      </c>
      <c r="K347" s="12" t="s">
        <v>463</v>
      </c>
    </row>
    <row r="348" ht="15.75" customHeight="1">
      <c r="A348" s="86" t="s">
        <v>226</v>
      </c>
      <c r="B348" s="86" t="s">
        <v>393</v>
      </c>
      <c r="C348" s="12" t="s">
        <v>262</v>
      </c>
      <c r="D348" s="12" t="s">
        <v>263</v>
      </c>
      <c r="E348" s="12" t="s">
        <v>156</v>
      </c>
      <c r="F348" s="12" t="s">
        <v>37</v>
      </c>
      <c r="G348" s="15" t="s">
        <v>38</v>
      </c>
      <c r="H348" s="12" t="s">
        <v>264</v>
      </c>
      <c r="I348" s="12" t="s">
        <v>40</v>
      </c>
      <c r="J348" s="12" t="s">
        <v>265</v>
      </c>
      <c r="K348" s="12" t="s">
        <v>463</v>
      </c>
    </row>
    <row r="349" ht="15.75" customHeight="1">
      <c r="A349" s="86" t="s">
        <v>226</v>
      </c>
      <c r="B349" s="86" t="s">
        <v>393</v>
      </c>
      <c r="C349" s="12" t="s">
        <v>370</v>
      </c>
      <c r="D349" s="12" t="s">
        <v>371</v>
      </c>
      <c r="E349" s="12" t="s">
        <v>137</v>
      </c>
      <c r="F349" s="12" t="s">
        <v>37</v>
      </c>
      <c r="G349" s="15" t="s">
        <v>38</v>
      </c>
      <c r="H349" s="12" t="s">
        <v>372</v>
      </c>
      <c r="I349" s="12" t="s">
        <v>48</v>
      </c>
      <c r="J349" s="12" t="s">
        <v>373</v>
      </c>
      <c r="K349" s="12" t="s">
        <v>463</v>
      </c>
    </row>
    <row r="350" ht="15.75" customHeight="1">
      <c r="A350" s="86" t="s">
        <v>226</v>
      </c>
      <c r="B350" s="86" t="s">
        <v>393</v>
      </c>
      <c r="C350" s="12" t="s">
        <v>413</v>
      </c>
      <c r="D350" s="12" t="s">
        <v>414</v>
      </c>
      <c r="E350" s="12" t="s">
        <v>137</v>
      </c>
      <c r="F350" s="12" t="s">
        <v>37</v>
      </c>
      <c r="G350" s="15" t="s">
        <v>38</v>
      </c>
      <c r="H350" s="12" t="s">
        <v>118</v>
      </c>
      <c r="I350" s="12" t="s">
        <v>48</v>
      </c>
      <c r="J350" s="12" t="s">
        <v>415</v>
      </c>
      <c r="K350" s="12" t="s">
        <v>463</v>
      </c>
    </row>
    <row r="351" ht="15.75" customHeight="1">
      <c r="A351" s="86" t="s">
        <v>226</v>
      </c>
      <c r="B351" s="86" t="s">
        <v>393</v>
      </c>
      <c r="C351" s="12" t="s">
        <v>416</v>
      </c>
      <c r="D351" s="12" t="s">
        <v>417</v>
      </c>
      <c r="E351" s="12" t="s">
        <v>396</v>
      </c>
      <c r="F351" s="12" t="s">
        <v>37</v>
      </c>
      <c r="G351" s="15" t="s">
        <v>38</v>
      </c>
      <c r="H351" s="12" t="s">
        <v>118</v>
      </c>
      <c r="I351" s="12" t="s">
        <v>48</v>
      </c>
      <c r="J351" s="12" t="s">
        <v>418</v>
      </c>
      <c r="K351" s="12" t="s">
        <v>463</v>
      </c>
    </row>
    <row r="352" ht="15.75" customHeight="1">
      <c r="A352" s="86" t="s">
        <v>226</v>
      </c>
      <c r="B352" s="86" t="s">
        <v>393</v>
      </c>
      <c r="C352" s="12" t="s">
        <v>475</v>
      </c>
      <c r="D352" s="12" t="s">
        <v>476</v>
      </c>
      <c r="E352" s="12" t="s">
        <v>156</v>
      </c>
      <c r="F352" s="12" t="s">
        <v>37</v>
      </c>
      <c r="G352" s="15" t="s">
        <v>38</v>
      </c>
      <c r="H352" s="12" t="s">
        <v>264</v>
      </c>
      <c r="I352" s="12" t="s">
        <v>48</v>
      </c>
      <c r="J352" s="12" t="s">
        <v>477</v>
      </c>
      <c r="K352" s="12" t="s">
        <v>463</v>
      </c>
    </row>
    <row r="353" ht="15.75" customHeight="1">
      <c r="A353" s="86" t="s">
        <v>226</v>
      </c>
      <c r="B353" s="86" t="s">
        <v>393</v>
      </c>
      <c r="C353" s="12" t="s">
        <v>154</v>
      </c>
      <c r="D353" s="12" t="s">
        <v>155</v>
      </c>
      <c r="E353" s="12" t="s">
        <v>156</v>
      </c>
      <c r="F353" s="12" t="s">
        <v>37</v>
      </c>
      <c r="G353" s="15" t="s">
        <v>38</v>
      </c>
      <c r="H353" s="12" t="s">
        <v>68</v>
      </c>
      <c r="I353" s="12" t="s">
        <v>40</v>
      </c>
      <c r="J353" s="12" t="s">
        <v>157</v>
      </c>
      <c r="K353" s="12" t="s">
        <v>463</v>
      </c>
    </row>
    <row r="354" ht="15.75" customHeight="1">
      <c r="A354" s="86" t="s">
        <v>226</v>
      </c>
      <c r="B354" s="86" t="s">
        <v>393</v>
      </c>
      <c r="C354" s="12" t="s">
        <v>367</v>
      </c>
      <c r="D354" s="12" t="s">
        <v>368</v>
      </c>
      <c r="E354" s="12" t="s">
        <v>57</v>
      </c>
      <c r="F354" s="12" t="s">
        <v>58</v>
      </c>
      <c r="G354" s="15" t="s">
        <v>38</v>
      </c>
      <c r="H354" s="12" t="s">
        <v>68</v>
      </c>
      <c r="I354" s="12" t="s">
        <v>48</v>
      </c>
      <c r="J354" s="12" t="s">
        <v>369</v>
      </c>
      <c r="K354" s="12" t="s">
        <v>463</v>
      </c>
    </row>
    <row r="355" ht="15.75" customHeight="1">
      <c r="A355" s="86" t="s">
        <v>226</v>
      </c>
      <c r="B355" s="86" t="s">
        <v>393</v>
      </c>
      <c r="C355" s="12" t="s">
        <v>33</v>
      </c>
      <c r="D355" s="12" t="s">
        <v>35</v>
      </c>
      <c r="E355" s="12" t="s">
        <v>36</v>
      </c>
      <c r="F355" s="12" t="s">
        <v>37</v>
      </c>
      <c r="G355" s="12" t="s">
        <v>40</v>
      </c>
      <c r="H355" s="12" t="s">
        <v>39</v>
      </c>
      <c r="I355" s="12" t="s">
        <v>40</v>
      </c>
      <c r="J355" s="12" t="s">
        <v>41</v>
      </c>
      <c r="K355" s="12" t="s">
        <v>463</v>
      </c>
    </row>
    <row r="356" ht="15.75" customHeight="1">
      <c r="A356" s="86" t="s">
        <v>226</v>
      </c>
      <c r="B356" s="86" t="s">
        <v>393</v>
      </c>
      <c r="C356" s="12" t="s">
        <v>33</v>
      </c>
      <c r="D356" s="12" t="s">
        <v>478</v>
      </c>
      <c r="E356" s="12" t="s">
        <v>219</v>
      </c>
      <c r="F356" s="12" t="s">
        <v>37</v>
      </c>
      <c r="G356" s="12" t="s">
        <v>40</v>
      </c>
      <c r="H356" s="12" t="s">
        <v>479</v>
      </c>
      <c r="I356" s="12" t="s">
        <v>38</v>
      </c>
      <c r="J356" s="12" t="s">
        <v>41</v>
      </c>
      <c r="K356" s="12" t="s">
        <v>463</v>
      </c>
    </row>
    <row r="357" ht="15.75" customHeight="1">
      <c r="A357" s="86" t="s">
        <v>226</v>
      </c>
      <c r="B357" s="86" t="s">
        <v>393</v>
      </c>
      <c r="C357" s="12" t="s">
        <v>33</v>
      </c>
      <c r="D357" s="12" t="s">
        <v>112</v>
      </c>
      <c r="E357" s="12" t="s">
        <v>113</v>
      </c>
      <c r="F357" s="12" t="s">
        <v>37</v>
      </c>
      <c r="G357" s="12" t="s">
        <v>40</v>
      </c>
      <c r="H357" s="12" t="s">
        <v>114</v>
      </c>
      <c r="I357" s="12" t="s">
        <v>48</v>
      </c>
      <c r="J357" s="12" t="s">
        <v>41</v>
      </c>
      <c r="K357" s="12" t="s">
        <v>463</v>
      </c>
    </row>
    <row r="358" ht="15.75" customHeight="1">
      <c r="A358" s="86" t="s">
        <v>226</v>
      </c>
      <c r="B358" s="86" t="s">
        <v>393</v>
      </c>
      <c r="C358" s="12" t="s">
        <v>33</v>
      </c>
      <c r="D358" s="12" t="s">
        <v>162</v>
      </c>
      <c r="E358" s="12" t="s">
        <v>53</v>
      </c>
      <c r="F358" s="12" t="s">
        <v>37</v>
      </c>
      <c r="G358" s="12" t="s">
        <v>40</v>
      </c>
      <c r="H358" s="12" t="s">
        <v>121</v>
      </c>
      <c r="I358" s="12" t="s">
        <v>48</v>
      </c>
      <c r="J358" s="12" t="s">
        <v>41</v>
      </c>
      <c r="K358" s="12" t="s">
        <v>463</v>
      </c>
    </row>
    <row r="359" ht="15.75" customHeight="1">
      <c r="A359" s="86" t="s">
        <v>226</v>
      </c>
      <c r="B359" s="86" t="s">
        <v>393</v>
      </c>
      <c r="C359" s="12" t="s">
        <v>307</v>
      </c>
      <c r="D359" s="12" t="s">
        <v>308</v>
      </c>
      <c r="E359" s="12" t="s">
        <v>57</v>
      </c>
      <c r="F359" s="12" t="s">
        <v>58</v>
      </c>
      <c r="G359" s="12" t="s">
        <v>40</v>
      </c>
      <c r="H359" s="12" t="s">
        <v>39</v>
      </c>
      <c r="I359" s="12" t="s">
        <v>48</v>
      </c>
      <c r="J359" s="12" t="s">
        <v>309</v>
      </c>
      <c r="K359" s="12" t="s">
        <v>463</v>
      </c>
    </row>
    <row r="360" ht="15.75" customHeight="1">
      <c r="A360" s="86" t="s">
        <v>226</v>
      </c>
      <c r="B360" s="86" t="s">
        <v>393</v>
      </c>
      <c r="C360" s="12" t="s">
        <v>119</v>
      </c>
      <c r="D360" s="12" t="s">
        <v>120</v>
      </c>
      <c r="E360" s="12" t="s">
        <v>62</v>
      </c>
      <c r="F360" s="12" t="s">
        <v>63</v>
      </c>
      <c r="G360" s="12" t="s">
        <v>40</v>
      </c>
      <c r="H360" s="12" t="s">
        <v>121</v>
      </c>
      <c r="I360" s="12" t="s">
        <v>48</v>
      </c>
      <c r="J360" s="12" t="s">
        <v>122</v>
      </c>
      <c r="K360" s="12" t="s">
        <v>463</v>
      </c>
    </row>
    <row r="361" ht="15.75" customHeight="1">
      <c r="A361" s="86" t="s">
        <v>226</v>
      </c>
      <c r="B361" s="86" t="s">
        <v>393</v>
      </c>
      <c r="C361" s="12" t="s">
        <v>135</v>
      </c>
      <c r="D361" s="12" t="s">
        <v>136</v>
      </c>
      <c r="E361" s="12" t="s">
        <v>137</v>
      </c>
      <c r="F361" s="12" t="s">
        <v>37</v>
      </c>
      <c r="G361" s="12" t="s">
        <v>40</v>
      </c>
      <c r="H361" s="12" t="s">
        <v>138</v>
      </c>
      <c r="I361" s="12" t="s">
        <v>48</v>
      </c>
      <c r="J361" s="12" t="s">
        <v>139</v>
      </c>
      <c r="K361" s="12" t="s">
        <v>480</v>
      </c>
    </row>
    <row r="362" ht="15.75" customHeight="1">
      <c r="A362" s="86" t="s">
        <v>226</v>
      </c>
      <c r="B362" s="86" t="s">
        <v>393</v>
      </c>
      <c r="C362" s="12" t="s">
        <v>342</v>
      </c>
      <c r="D362" s="12" t="s">
        <v>343</v>
      </c>
      <c r="E362" s="12" t="s">
        <v>205</v>
      </c>
      <c r="F362" s="12" t="s">
        <v>58</v>
      </c>
      <c r="G362" s="12" t="s">
        <v>40</v>
      </c>
      <c r="H362" s="12" t="s">
        <v>39</v>
      </c>
      <c r="I362" s="12" t="s">
        <v>48</v>
      </c>
      <c r="J362" s="12" t="s">
        <v>344</v>
      </c>
      <c r="K362" s="12" t="s">
        <v>463</v>
      </c>
    </row>
    <row r="363" ht="15.75" customHeight="1">
      <c r="A363" s="86" t="s">
        <v>226</v>
      </c>
      <c r="B363" s="86" t="s">
        <v>393</v>
      </c>
      <c r="C363" s="12" t="s">
        <v>481</v>
      </c>
      <c r="D363" s="12" t="s">
        <v>482</v>
      </c>
      <c r="E363" s="12" t="s">
        <v>156</v>
      </c>
      <c r="F363" s="12" t="s">
        <v>37</v>
      </c>
      <c r="G363" s="12" t="s">
        <v>40</v>
      </c>
      <c r="H363" s="12" t="s">
        <v>376</v>
      </c>
      <c r="I363" s="12" t="s">
        <v>48</v>
      </c>
      <c r="J363" s="12" t="s">
        <v>483</v>
      </c>
      <c r="K363" s="12" t="s">
        <v>463</v>
      </c>
    </row>
    <row r="364" ht="15.75" customHeight="1">
      <c r="A364" s="86" t="s">
        <v>226</v>
      </c>
      <c r="B364" s="86" t="s">
        <v>393</v>
      </c>
      <c r="C364" s="12" t="s">
        <v>484</v>
      </c>
      <c r="D364" s="12" t="s">
        <v>485</v>
      </c>
      <c r="E364" s="12" t="s">
        <v>108</v>
      </c>
      <c r="F364" s="12" t="s">
        <v>58</v>
      </c>
      <c r="G364" s="12" t="s">
        <v>40</v>
      </c>
      <c r="H364" s="12" t="s">
        <v>376</v>
      </c>
      <c r="I364" s="12" t="s">
        <v>48</v>
      </c>
      <c r="J364" s="12" t="s">
        <v>486</v>
      </c>
      <c r="K364" s="12" t="s">
        <v>463</v>
      </c>
    </row>
    <row r="365" ht="15.75" customHeight="1">
      <c r="A365" s="86" t="s">
        <v>226</v>
      </c>
      <c r="B365" s="86" t="s">
        <v>393</v>
      </c>
      <c r="C365" s="12" t="s">
        <v>330</v>
      </c>
      <c r="D365" s="12" t="s">
        <v>331</v>
      </c>
      <c r="E365" s="12" t="s">
        <v>57</v>
      </c>
      <c r="F365" s="12" t="s">
        <v>58</v>
      </c>
      <c r="G365" s="12" t="s">
        <v>40</v>
      </c>
      <c r="H365" s="12" t="s">
        <v>39</v>
      </c>
      <c r="I365" s="12" t="s">
        <v>48</v>
      </c>
      <c r="J365" s="12" t="s">
        <v>332</v>
      </c>
      <c r="K365" s="12" t="s">
        <v>463</v>
      </c>
    </row>
    <row r="366" ht="15.75" customHeight="1">
      <c r="A366" s="86" t="s">
        <v>226</v>
      </c>
      <c r="B366" s="86" t="s">
        <v>393</v>
      </c>
      <c r="C366" s="12" t="s">
        <v>345</v>
      </c>
      <c r="D366" s="12" t="s">
        <v>346</v>
      </c>
      <c r="E366" s="12" t="s">
        <v>57</v>
      </c>
      <c r="F366" s="12" t="s">
        <v>58</v>
      </c>
      <c r="G366" s="12" t="s">
        <v>40</v>
      </c>
      <c r="H366" s="12" t="s">
        <v>347</v>
      </c>
      <c r="I366" s="12" t="s">
        <v>48</v>
      </c>
      <c r="J366" s="12" t="s">
        <v>348</v>
      </c>
      <c r="K366" s="12" t="s">
        <v>463</v>
      </c>
    </row>
    <row r="367" ht="15.75" customHeight="1">
      <c r="A367" s="86" t="s">
        <v>226</v>
      </c>
      <c r="B367" s="86" t="s">
        <v>393</v>
      </c>
      <c r="C367" s="12" t="s">
        <v>374</v>
      </c>
      <c r="D367" s="12" t="s">
        <v>375</v>
      </c>
      <c r="E367" s="12" t="s">
        <v>137</v>
      </c>
      <c r="F367" s="12" t="s">
        <v>37</v>
      </c>
      <c r="G367" s="12" t="s">
        <v>40</v>
      </c>
      <c r="H367" s="12" t="s">
        <v>376</v>
      </c>
      <c r="I367" s="12" t="s">
        <v>48</v>
      </c>
      <c r="J367" s="12" t="s">
        <v>377</v>
      </c>
      <c r="K367" s="12" t="s">
        <v>463</v>
      </c>
    </row>
    <row r="368" ht="15.75" customHeight="1">
      <c r="A368" s="86" t="s">
        <v>226</v>
      </c>
      <c r="B368" s="86" t="s">
        <v>393</v>
      </c>
      <c r="C368" s="12" t="s">
        <v>384</v>
      </c>
      <c r="D368" s="12" t="s">
        <v>385</v>
      </c>
      <c r="E368" s="12" t="s">
        <v>137</v>
      </c>
      <c r="F368" s="12" t="s">
        <v>37</v>
      </c>
      <c r="G368" s="12" t="s">
        <v>40</v>
      </c>
      <c r="H368" s="12" t="s">
        <v>386</v>
      </c>
      <c r="I368" s="12" t="s">
        <v>48</v>
      </c>
      <c r="J368" s="12" t="s">
        <v>387</v>
      </c>
      <c r="K368" s="12" t="s">
        <v>463</v>
      </c>
    </row>
    <row r="369" ht="15.75" customHeight="1">
      <c r="A369" s="86" t="s">
        <v>226</v>
      </c>
      <c r="B369" s="86" t="s">
        <v>403</v>
      </c>
      <c r="C369" s="12" t="s">
        <v>33</v>
      </c>
      <c r="D369" s="12" t="s">
        <v>213</v>
      </c>
      <c r="E369" s="12" t="s">
        <v>45</v>
      </c>
      <c r="F369" s="12" t="s">
        <v>37</v>
      </c>
      <c r="G369" s="15" t="s">
        <v>38</v>
      </c>
      <c r="H369" s="12" t="s">
        <v>214</v>
      </c>
      <c r="I369" s="12" t="s">
        <v>48</v>
      </c>
      <c r="J369" s="12"/>
      <c r="K369" s="12" t="s">
        <v>487</v>
      </c>
    </row>
    <row r="370" ht="15.75" customHeight="1">
      <c r="A370" s="86" t="s">
        <v>226</v>
      </c>
      <c r="B370" s="86" t="s">
        <v>403</v>
      </c>
      <c r="C370" s="12" t="s">
        <v>33</v>
      </c>
      <c r="D370" s="12" t="s">
        <v>456</v>
      </c>
      <c r="E370" s="12" t="s">
        <v>45</v>
      </c>
      <c r="F370" s="12" t="s">
        <v>37</v>
      </c>
      <c r="G370" s="15" t="s">
        <v>38</v>
      </c>
      <c r="H370" s="12" t="s">
        <v>457</v>
      </c>
      <c r="I370" s="12" t="s">
        <v>48</v>
      </c>
      <c r="J370" s="12" t="s">
        <v>41</v>
      </c>
      <c r="K370" s="12" t="s">
        <v>487</v>
      </c>
    </row>
    <row r="371" ht="15.75" customHeight="1">
      <c r="A371" s="86" t="s">
        <v>226</v>
      </c>
      <c r="B371" s="86" t="s">
        <v>403</v>
      </c>
      <c r="C371" s="12" t="s">
        <v>33</v>
      </c>
      <c r="D371" s="12" t="s">
        <v>478</v>
      </c>
      <c r="E371" s="12" t="s">
        <v>219</v>
      </c>
      <c r="F371" s="12" t="s">
        <v>37</v>
      </c>
      <c r="G371" s="15" t="s">
        <v>38</v>
      </c>
      <c r="H371" s="12" t="s">
        <v>479</v>
      </c>
      <c r="I371" s="12" t="s">
        <v>38</v>
      </c>
      <c r="J371" s="12" t="s">
        <v>41</v>
      </c>
      <c r="K371" s="12" t="s">
        <v>488</v>
      </c>
    </row>
    <row r="372" ht="15.75" customHeight="1">
      <c r="A372" s="86" t="s">
        <v>226</v>
      </c>
      <c r="B372" s="86" t="s">
        <v>403</v>
      </c>
      <c r="C372" s="12" t="s">
        <v>33</v>
      </c>
      <c r="D372" s="12" t="s">
        <v>216</v>
      </c>
      <c r="E372" s="12" t="s">
        <v>45</v>
      </c>
      <c r="F372" s="12" t="s">
        <v>37</v>
      </c>
      <c r="G372" s="15" t="s">
        <v>38</v>
      </c>
      <c r="H372" s="12" t="s">
        <v>214</v>
      </c>
      <c r="I372" s="12" t="s">
        <v>48</v>
      </c>
      <c r="J372" s="12" t="s">
        <v>41</v>
      </c>
      <c r="K372" s="12" t="s">
        <v>487</v>
      </c>
    </row>
    <row r="373" ht="15.75" customHeight="1">
      <c r="A373" s="86" t="s">
        <v>226</v>
      </c>
      <c r="B373" s="86" t="s">
        <v>403</v>
      </c>
      <c r="C373" s="12" t="s">
        <v>33</v>
      </c>
      <c r="D373" s="12" t="s">
        <v>218</v>
      </c>
      <c r="E373" s="12" t="s">
        <v>219</v>
      </c>
      <c r="F373" s="12" t="s">
        <v>37</v>
      </c>
      <c r="G373" s="15" t="s">
        <v>38</v>
      </c>
      <c r="H373" s="12" t="s">
        <v>229</v>
      </c>
      <c r="I373" s="12" t="s">
        <v>38</v>
      </c>
      <c r="J373" s="12" t="s">
        <v>41</v>
      </c>
      <c r="K373" s="12" t="s">
        <v>488</v>
      </c>
    </row>
    <row r="374" ht="15.75" customHeight="1">
      <c r="A374" s="86" t="s">
        <v>226</v>
      </c>
      <c r="B374" s="86" t="s">
        <v>403</v>
      </c>
      <c r="C374" s="12" t="s">
        <v>33</v>
      </c>
      <c r="D374" s="12" t="s">
        <v>230</v>
      </c>
      <c r="E374" s="12" t="s">
        <v>53</v>
      </c>
      <c r="F374" s="12" t="s">
        <v>37</v>
      </c>
      <c r="G374" s="15" t="s">
        <v>38</v>
      </c>
      <c r="H374" s="12" t="s">
        <v>231</v>
      </c>
      <c r="I374" s="12" t="s">
        <v>48</v>
      </c>
      <c r="J374" s="12" t="s">
        <v>41</v>
      </c>
      <c r="K374" s="12" t="s">
        <v>487</v>
      </c>
    </row>
    <row r="375" ht="15.75" customHeight="1">
      <c r="A375" s="86" t="s">
        <v>226</v>
      </c>
      <c r="B375" s="86" t="s">
        <v>403</v>
      </c>
      <c r="C375" s="12" t="s">
        <v>33</v>
      </c>
      <c r="D375" s="12" t="s">
        <v>489</v>
      </c>
      <c r="E375" s="12" t="s">
        <v>53</v>
      </c>
      <c r="F375" s="12" t="s">
        <v>37</v>
      </c>
      <c r="G375" s="15" t="s">
        <v>38</v>
      </c>
      <c r="H375" s="12" t="s">
        <v>335</v>
      </c>
      <c r="I375" s="12" t="s">
        <v>48</v>
      </c>
      <c r="J375" s="12" t="s">
        <v>41</v>
      </c>
      <c r="K375" s="12" t="s">
        <v>490</v>
      </c>
    </row>
    <row r="376" ht="15.75" customHeight="1">
      <c r="A376" s="86" t="s">
        <v>226</v>
      </c>
      <c r="B376" s="86" t="s">
        <v>403</v>
      </c>
      <c r="C376" s="12" t="s">
        <v>145</v>
      </c>
      <c r="D376" s="12" t="s">
        <v>146</v>
      </c>
      <c r="E376" s="12" t="s">
        <v>137</v>
      </c>
      <c r="F376" s="12" t="s">
        <v>37</v>
      </c>
      <c r="G376" s="15" t="s">
        <v>38</v>
      </c>
      <c r="H376" s="12" t="s">
        <v>138</v>
      </c>
      <c r="I376" s="12" t="s">
        <v>48</v>
      </c>
      <c r="J376" s="12" t="s">
        <v>148</v>
      </c>
      <c r="K376" s="12" t="s">
        <v>490</v>
      </c>
    </row>
    <row r="377" ht="15.75" customHeight="1">
      <c r="A377" s="86" t="s">
        <v>226</v>
      </c>
      <c r="B377" s="86" t="s">
        <v>403</v>
      </c>
      <c r="C377" s="12" t="s">
        <v>398</v>
      </c>
      <c r="D377" s="12" t="s">
        <v>399</v>
      </c>
      <c r="E377" s="12" t="s">
        <v>137</v>
      </c>
      <c r="F377" s="12" t="s">
        <v>37</v>
      </c>
      <c r="G377" s="15" t="s">
        <v>38</v>
      </c>
      <c r="H377" s="12" t="s">
        <v>400</v>
      </c>
      <c r="I377" s="12" t="s">
        <v>38</v>
      </c>
      <c r="J377" s="12" t="s">
        <v>401</v>
      </c>
      <c r="K377" s="12" t="s">
        <v>488</v>
      </c>
    </row>
    <row r="378" ht="15.75" customHeight="1">
      <c r="A378" s="86" t="s">
        <v>226</v>
      </c>
      <c r="B378" s="86" t="s">
        <v>403</v>
      </c>
      <c r="C378" s="12" t="s">
        <v>259</v>
      </c>
      <c r="D378" s="12" t="s">
        <v>260</v>
      </c>
      <c r="E378" s="12" t="s">
        <v>137</v>
      </c>
      <c r="F378" s="12" t="s">
        <v>37</v>
      </c>
      <c r="G378" s="15" t="s">
        <v>38</v>
      </c>
      <c r="H378" s="12" t="s">
        <v>229</v>
      </c>
      <c r="I378" s="12" t="s">
        <v>38</v>
      </c>
      <c r="J378" s="12" t="s">
        <v>261</v>
      </c>
      <c r="K378" s="12" t="s">
        <v>488</v>
      </c>
    </row>
    <row r="379" ht="15.75" customHeight="1">
      <c r="A379" s="86" t="s">
        <v>226</v>
      </c>
      <c r="B379" s="86" t="s">
        <v>403</v>
      </c>
      <c r="C379" s="12" t="s">
        <v>233</v>
      </c>
      <c r="D379" s="12" t="s">
        <v>234</v>
      </c>
      <c r="E379" s="12" t="s">
        <v>156</v>
      </c>
      <c r="F379" s="12" t="s">
        <v>37</v>
      </c>
      <c r="G379" s="15" t="s">
        <v>38</v>
      </c>
      <c r="H379" s="12" t="s">
        <v>214</v>
      </c>
      <c r="I379" s="12" t="s">
        <v>40</v>
      </c>
      <c r="J379" s="12" t="s">
        <v>235</v>
      </c>
      <c r="K379" s="12" t="s">
        <v>487</v>
      </c>
    </row>
    <row r="380" ht="15.75" customHeight="1">
      <c r="A380" s="86" t="s">
        <v>226</v>
      </c>
      <c r="B380" s="86" t="s">
        <v>403</v>
      </c>
      <c r="C380" s="12" t="s">
        <v>203</v>
      </c>
      <c r="D380" s="12" t="s">
        <v>204</v>
      </c>
      <c r="E380" s="12" t="s">
        <v>205</v>
      </c>
      <c r="F380" s="12" t="s">
        <v>58</v>
      </c>
      <c r="G380" s="15" t="s">
        <v>38</v>
      </c>
      <c r="H380" s="12" t="s">
        <v>206</v>
      </c>
      <c r="I380" s="12" t="s">
        <v>48</v>
      </c>
      <c r="J380" s="12" t="s">
        <v>207</v>
      </c>
      <c r="K380" s="12" t="s">
        <v>487</v>
      </c>
    </row>
    <row r="381" ht="15.75" customHeight="1">
      <c r="A381" s="86" t="s">
        <v>226</v>
      </c>
      <c r="B381" s="86" t="s">
        <v>403</v>
      </c>
      <c r="C381" s="12" t="s">
        <v>492</v>
      </c>
      <c r="D381" s="12" t="s">
        <v>499</v>
      </c>
      <c r="E381" s="12" t="s">
        <v>137</v>
      </c>
      <c r="F381" s="12" t="s">
        <v>37</v>
      </c>
      <c r="G381" s="15" t="s">
        <v>38</v>
      </c>
      <c r="H381" s="12" t="s">
        <v>214</v>
      </c>
      <c r="I381" s="12" t="s">
        <v>40</v>
      </c>
      <c r="J381" s="12" t="s">
        <v>500</v>
      </c>
      <c r="K381" s="12" t="s">
        <v>487</v>
      </c>
    </row>
    <row r="382" ht="15.75" customHeight="1">
      <c r="A382" s="86" t="s">
        <v>226</v>
      </c>
      <c r="B382" s="86" t="s">
        <v>403</v>
      </c>
      <c r="C382" s="12" t="s">
        <v>501</v>
      </c>
      <c r="D382" s="12" t="s">
        <v>502</v>
      </c>
      <c r="E382" s="12" t="s">
        <v>108</v>
      </c>
      <c r="F382" s="12" t="s">
        <v>58</v>
      </c>
      <c r="G382" s="15" t="s">
        <v>38</v>
      </c>
      <c r="H382" s="12" t="s">
        <v>214</v>
      </c>
      <c r="I382" s="12" t="s">
        <v>48</v>
      </c>
      <c r="J382" s="12" t="s">
        <v>110</v>
      </c>
      <c r="K382" s="12" t="s">
        <v>487</v>
      </c>
    </row>
    <row r="383" ht="15.75" customHeight="1">
      <c r="A383" s="86" t="s">
        <v>226</v>
      </c>
      <c r="B383" s="86" t="s">
        <v>403</v>
      </c>
      <c r="C383" s="12" t="s">
        <v>461</v>
      </c>
      <c r="D383" s="12" t="s">
        <v>462</v>
      </c>
      <c r="E383" s="12" t="s">
        <v>108</v>
      </c>
      <c r="F383" s="12" t="s">
        <v>58</v>
      </c>
      <c r="G383" s="15" t="s">
        <v>38</v>
      </c>
      <c r="H383" s="12" t="s">
        <v>214</v>
      </c>
      <c r="I383" s="12" t="s">
        <v>48</v>
      </c>
      <c r="J383" s="12" t="s">
        <v>110</v>
      </c>
      <c r="K383" s="12" t="s">
        <v>487</v>
      </c>
    </row>
    <row r="384" ht="15.75" customHeight="1">
      <c r="A384" s="86" t="s">
        <v>226</v>
      </c>
      <c r="B384" s="86" t="s">
        <v>403</v>
      </c>
      <c r="C384" s="12" t="s">
        <v>33</v>
      </c>
      <c r="D384" s="12" t="s">
        <v>35</v>
      </c>
      <c r="E384" s="12" t="s">
        <v>36</v>
      </c>
      <c r="F384" s="12" t="s">
        <v>37</v>
      </c>
      <c r="G384" s="12" t="s">
        <v>40</v>
      </c>
      <c r="H384" s="12" t="s">
        <v>39</v>
      </c>
      <c r="I384" s="12" t="s">
        <v>40</v>
      </c>
      <c r="J384" s="12" t="s">
        <v>41</v>
      </c>
      <c r="K384" s="12" t="s">
        <v>488</v>
      </c>
    </row>
    <row r="385" ht="15.75" customHeight="1">
      <c r="A385" s="86" t="s">
        <v>226</v>
      </c>
      <c r="B385" s="86" t="s">
        <v>403</v>
      </c>
      <c r="C385" s="12" t="s">
        <v>33</v>
      </c>
      <c r="D385" s="12" t="s">
        <v>464</v>
      </c>
      <c r="E385" s="12" t="s">
        <v>45</v>
      </c>
      <c r="F385" s="12" t="s">
        <v>37</v>
      </c>
      <c r="G385" s="12" t="s">
        <v>40</v>
      </c>
      <c r="H385" s="12" t="s">
        <v>264</v>
      </c>
      <c r="I385" s="12" t="s">
        <v>40</v>
      </c>
      <c r="J385" s="12" t="s">
        <v>41</v>
      </c>
      <c r="K385" s="12" t="s">
        <v>488</v>
      </c>
    </row>
    <row r="386" ht="15.75" customHeight="1">
      <c r="A386" s="86" t="s">
        <v>226</v>
      </c>
      <c r="B386" s="86" t="s">
        <v>403</v>
      </c>
      <c r="C386" s="12" t="s">
        <v>33</v>
      </c>
      <c r="D386" s="12" t="s">
        <v>117</v>
      </c>
      <c r="E386" s="12" t="s">
        <v>53</v>
      </c>
      <c r="F386" s="12" t="s">
        <v>37</v>
      </c>
      <c r="G386" s="12" t="s">
        <v>40</v>
      </c>
      <c r="H386" s="12" t="s">
        <v>118</v>
      </c>
      <c r="I386" s="12" t="s">
        <v>40</v>
      </c>
      <c r="J386" s="12" t="s">
        <v>41</v>
      </c>
      <c r="K386" s="12" t="s">
        <v>488</v>
      </c>
    </row>
    <row r="387" ht="15.75" customHeight="1">
      <c r="A387" s="86" t="s">
        <v>226</v>
      </c>
      <c r="B387" s="86" t="s">
        <v>403</v>
      </c>
      <c r="C387" s="12" t="s">
        <v>503</v>
      </c>
      <c r="D387" s="12" t="s">
        <v>504</v>
      </c>
      <c r="E387" s="12" t="s">
        <v>137</v>
      </c>
      <c r="F387" s="12" t="s">
        <v>37</v>
      </c>
      <c r="G387" s="12" t="s">
        <v>40</v>
      </c>
      <c r="H387" s="12" t="s">
        <v>460</v>
      </c>
      <c r="I387" s="12" t="s">
        <v>48</v>
      </c>
      <c r="J387" s="12" t="s">
        <v>505</v>
      </c>
      <c r="K387" s="12" t="s">
        <v>506</v>
      </c>
    </row>
    <row r="388" ht="15.75" customHeight="1">
      <c r="A388" s="86" t="s">
        <v>226</v>
      </c>
      <c r="B388" s="86" t="s">
        <v>403</v>
      </c>
      <c r="C388" s="12" t="s">
        <v>333</v>
      </c>
      <c r="D388" s="12" t="s">
        <v>334</v>
      </c>
      <c r="E388" s="12" t="s">
        <v>137</v>
      </c>
      <c r="F388" s="12" t="s">
        <v>37</v>
      </c>
      <c r="G388" s="12" t="s">
        <v>40</v>
      </c>
      <c r="H388" s="12" t="s">
        <v>335</v>
      </c>
      <c r="I388" s="12" t="s">
        <v>40</v>
      </c>
      <c r="J388" s="12" t="s">
        <v>336</v>
      </c>
      <c r="K388" s="12" t="s">
        <v>488</v>
      </c>
    </row>
    <row r="389" ht="15.75" customHeight="1">
      <c r="A389" s="86" t="s">
        <v>226</v>
      </c>
      <c r="B389" s="86" t="s">
        <v>403</v>
      </c>
      <c r="C389" s="12" t="s">
        <v>262</v>
      </c>
      <c r="D389" s="12" t="s">
        <v>263</v>
      </c>
      <c r="E389" s="12" t="s">
        <v>156</v>
      </c>
      <c r="F389" s="12" t="s">
        <v>37</v>
      </c>
      <c r="G389" s="12" t="s">
        <v>40</v>
      </c>
      <c r="H389" s="12" t="s">
        <v>264</v>
      </c>
      <c r="I389" s="12" t="s">
        <v>40</v>
      </c>
      <c r="J389" s="12" t="s">
        <v>265</v>
      </c>
      <c r="K389" s="12" t="s">
        <v>488</v>
      </c>
    </row>
    <row r="390" ht="15.75" customHeight="1">
      <c r="A390" s="86" t="s">
        <v>226</v>
      </c>
      <c r="B390" s="86" t="s">
        <v>403</v>
      </c>
      <c r="C390" s="12" t="s">
        <v>256</v>
      </c>
      <c r="D390" s="12" t="s">
        <v>257</v>
      </c>
      <c r="E390" s="12" t="s">
        <v>57</v>
      </c>
      <c r="F390" s="12" t="s">
        <v>58</v>
      </c>
      <c r="G390" s="12" t="s">
        <v>40</v>
      </c>
      <c r="H390" s="12" t="s">
        <v>211</v>
      </c>
      <c r="I390" s="12" t="s">
        <v>48</v>
      </c>
      <c r="J390" s="12" t="s">
        <v>258</v>
      </c>
      <c r="K390" s="12" t="s">
        <v>487</v>
      </c>
    </row>
    <row r="391" ht="15.75" customHeight="1">
      <c r="A391" s="86" t="s">
        <v>226</v>
      </c>
      <c r="B391" s="86" t="s">
        <v>403</v>
      </c>
      <c r="C391" s="12" t="s">
        <v>209</v>
      </c>
      <c r="D391" s="12" t="s">
        <v>210</v>
      </c>
      <c r="E391" s="12" t="s">
        <v>57</v>
      </c>
      <c r="F391" s="12" t="s">
        <v>58</v>
      </c>
      <c r="G391" s="12" t="s">
        <v>40</v>
      </c>
      <c r="H391" s="12" t="s">
        <v>211</v>
      </c>
      <c r="I391" s="12" t="s">
        <v>48</v>
      </c>
      <c r="J391" s="12" t="s">
        <v>212</v>
      </c>
      <c r="K391" s="12" t="s">
        <v>487</v>
      </c>
    </row>
    <row r="392" ht="15.75" customHeight="1">
      <c r="A392" s="86" t="s">
        <v>226</v>
      </c>
      <c r="B392" s="86" t="s">
        <v>403</v>
      </c>
      <c r="C392" s="12" t="s">
        <v>154</v>
      </c>
      <c r="D392" s="12" t="s">
        <v>155</v>
      </c>
      <c r="E392" s="12" t="s">
        <v>156</v>
      </c>
      <c r="F392" s="12" t="s">
        <v>37</v>
      </c>
      <c r="G392" s="12" t="s">
        <v>40</v>
      </c>
      <c r="H392" s="12" t="s">
        <v>68</v>
      </c>
      <c r="I392" s="12" t="s">
        <v>40</v>
      </c>
      <c r="J392" s="12" t="s">
        <v>157</v>
      </c>
      <c r="K392" s="12" t="s">
        <v>488</v>
      </c>
    </row>
    <row r="393" ht="15.75" customHeight="1">
      <c r="A393" s="86" t="s">
        <v>226</v>
      </c>
      <c r="B393" s="86" t="s">
        <v>404</v>
      </c>
      <c r="C393" s="12" t="s">
        <v>33</v>
      </c>
      <c r="D393" s="12" t="s">
        <v>456</v>
      </c>
      <c r="E393" s="12" t="s">
        <v>45</v>
      </c>
      <c r="F393" s="12" t="s">
        <v>37</v>
      </c>
      <c r="G393" s="15" t="s">
        <v>38</v>
      </c>
      <c r="H393" s="12" t="s">
        <v>457</v>
      </c>
      <c r="I393" s="12" t="s">
        <v>48</v>
      </c>
      <c r="J393" s="12" t="s">
        <v>41</v>
      </c>
      <c r="K393" s="12" t="s">
        <v>516</v>
      </c>
    </row>
    <row r="394" ht="15.75" customHeight="1">
      <c r="A394" s="86" t="s">
        <v>226</v>
      </c>
      <c r="B394" s="86" t="s">
        <v>404</v>
      </c>
      <c r="C394" s="12" t="s">
        <v>33</v>
      </c>
      <c r="D394" s="12" t="s">
        <v>352</v>
      </c>
      <c r="E394" s="12" t="s">
        <v>45</v>
      </c>
      <c r="F394" s="12" t="s">
        <v>37</v>
      </c>
      <c r="G394" s="15" t="s">
        <v>38</v>
      </c>
      <c r="H394" s="12" t="s">
        <v>128</v>
      </c>
      <c r="I394" s="12" t="s">
        <v>48</v>
      </c>
      <c r="J394" s="12" t="s">
        <v>41</v>
      </c>
      <c r="K394" s="12" t="s">
        <v>516</v>
      </c>
    </row>
    <row r="395" ht="15.75" customHeight="1">
      <c r="A395" s="86" t="s">
        <v>226</v>
      </c>
      <c r="B395" s="86" t="s">
        <v>404</v>
      </c>
      <c r="C395" s="12" t="s">
        <v>33</v>
      </c>
      <c r="D395" s="12" t="s">
        <v>112</v>
      </c>
      <c r="E395" s="12" t="s">
        <v>113</v>
      </c>
      <c r="F395" s="12" t="s">
        <v>37</v>
      </c>
      <c r="G395" s="15" t="s">
        <v>38</v>
      </c>
      <c r="H395" s="12" t="s">
        <v>114</v>
      </c>
      <c r="I395" s="12" t="s">
        <v>48</v>
      </c>
      <c r="J395" s="12" t="s">
        <v>41</v>
      </c>
      <c r="K395" s="12" t="s">
        <v>516</v>
      </c>
    </row>
    <row r="396" ht="15.75" customHeight="1">
      <c r="A396" s="86" t="s">
        <v>226</v>
      </c>
      <c r="B396" s="86" t="s">
        <v>404</v>
      </c>
      <c r="C396" s="12" t="s">
        <v>33</v>
      </c>
      <c r="D396" s="12" t="s">
        <v>353</v>
      </c>
      <c r="E396" s="12" t="s">
        <v>197</v>
      </c>
      <c r="F396" s="12" t="s">
        <v>37</v>
      </c>
      <c r="G396" s="15" t="s">
        <v>38</v>
      </c>
      <c r="H396" s="12" t="s">
        <v>128</v>
      </c>
      <c r="I396" s="12" t="s">
        <v>48</v>
      </c>
      <c r="J396" s="12" t="s">
        <v>41</v>
      </c>
      <c r="K396" s="12" t="s">
        <v>516</v>
      </c>
    </row>
    <row r="397" ht="15.75" customHeight="1">
      <c r="A397" s="86" t="s">
        <v>226</v>
      </c>
      <c r="B397" s="86" t="s">
        <v>404</v>
      </c>
      <c r="C397" s="12" t="s">
        <v>33</v>
      </c>
      <c r="D397" s="12" t="s">
        <v>510</v>
      </c>
      <c r="E397" s="12" t="s">
        <v>45</v>
      </c>
      <c r="F397" s="12" t="s">
        <v>37</v>
      </c>
      <c r="G397" s="15" t="s">
        <v>38</v>
      </c>
      <c r="H397" s="12" t="s">
        <v>511</v>
      </c>
      <c r="I397" s="12" t="s">
        <v>48</v>
      </c>
      <c r="J397" s="12" t="s">
        <v>41</v>
      </c>
      <c r="K397" s="12" t="s">
        <v>516</v>
      </c>
    </row>
    <row r="398" ht="15.75" customHeight="1">
      <c r="A398" s="86" t="s">
        <v>226</v>
      </c>
      <c r="B398" s="86" t="s">
        <v>404</v>
      </c>
      <c r="C398" s="12" t="s">
        <v>33</v>
      </c>
      <c r="D398" s="12" t="s">
        <v>459</v>
      </c>
      <c r="E398" s="12" t="s">
        <v>53</v>
      </c>
      <c r="F398" s="12" t="s">
        <v>37</v>
      </c>
      <c r="G398" s="15" t="s">
        <v>38</v>
      </c>
      <c r="H398" s="12" t="s">
        <v>460</v>
      </c>
      <c r="I398" s="12" t="s">
        <v>48</v>
      </c>
      <c r="J398" s="12" t="s">
        <v>41</v>
      </c>
      <c r="K398" s="12" t="s">
        <v>516</v>
      </c>
    </row>
    <row r="399" ht="15.75" customHeight="1">
      <c r="A399" s="86" t="s">
        <v>226</v>
      </c>
      <c r="B399" s="86" t="s">
        <v>404</v>
      </c>
      <c r="C399" s="12" t="s">
        <v>33</v>
      </c>
      <c r="D399" s="12" t="s">
        <v>162</v>
      </c>
      <c r="E399" s="12" t="s">
        <v>53</v>
      </c>
      <c r="F399" s="12" t="s">
        <v>37</v>
      </c>
      <c r="G399" s="15" t="s">
        <v>38</v>
      </c>
      <c r="H399" s="12" t="s">
        <v>121</v>
      </c>
      <c r="I399" s="12" t="s">
        <v>48</v>
      </c>
      <c r="J399" s="12" t="s">
        <v>41</v>
      </c>
      <c r="K399" s="12" t="s">
        <v>516</v>
      </c>
    </row>
    <row r="400" ht="15.75" customHeight="1">
      <c r="A400" s="86" t="s">
        <v>226</v>
      </c>
      <c r="B400" s="86" t="s">
        <v>404</v>
      </c>
      <c r="C400" s="12" t="s">
        <v>33</v>
      </c>
      <c r="D400" s="12" t="s">
        <v>196</v>
      </c>
      <c r="E400" s="12" t="s">
        <v>197</v>
      </c>
      <c r="F400" s="12" t="s">
        <v>37</v>
      </c>
      <c r="G400" s="15" t="s">
        <v>38</v>
      </c>
      <c r="H400" s="12" t="s">
        <v>128</v>
      </c>
      <c r="I400" s="12" t="s">
        <v>48</v>
      </c>
      <c r="J400" s="12" t="s">
        <v>41</v>
      </c>
      <c r="K400" s="12" t="s">
        <v>516</v>
      </c>
    </row>
    <row r="401" ht="15.75" customHeight="1">
      <c r="A401" s="86" t="s">
        <v>226</v>
      </c>
      <c r="B401" s="86" t="s">
        <v>404</v>
      </c>
      <c r="C401" s="12" t="s">
        <v>517</v>
      </c>
      <c r="D401" s="12" t="s">
        <v>518</v>
      </c>
      <c r="E401" s="12" t="s">
        <v>396</v>
      </c>
      <c r="F401" s="12" t="s">
        <v>37</v>
      </c>
      <c r="G401" s="15" t="s">
        <v>38</v>
      </c>
      <c r="H401" s="12" t="s">
        <v>460</v>
      </c>
      <c r="I401" s="12" t="s">
        <v>48</v>
      </c>
      <c r="J401" s="12" t="s">
        <v>519</v>
      </c>
      <c r="K401" s="12" t="s">
        <v>516</v>
      </c>
    </row>
    <row r="402" ht="15.75" customHeight="1">
      <c r="A402" s="86" t="s">
        <v>226</v>
      </c>
      <c r="B402" s="86" t="s">
        <v>404</v>
      </c>
      <c r="C402" s="12" t="s">
        <v>188</v>
      </c>
      <c r="D402" s="12" t="s">
        <v>189</v>
      </c>
      <c r="E402" s="12" t="s">
        <v>62</v>
      </c>
      <c r="F402" s="12" t="s">
        <v>63</v>
      </c>
      <c r="G402" s="15" t="s">
        <v>38</v>
      </c>
      <c r="H402" s="12" t="s">
        <v>190</v>
      </c>
      <c r="I402" s="12" t="s">
        <v>48</v>
      </c>
      <c r="J402" s="12" t="s">
        <v>191</v>
      </c>
      <c r="K402" s="12" t="s">
        <v>516</v>
      </c>
    </row>
    <row r="403" ht="15.75" customHeight="1">
      <c r="A403" s="86" t="s">
        <v>226</v>
      </c>
      <c r="B403" s="86" t="s">
        <v>404</v>
      </c>
      <c r="C403" s="12" t="s">
        <v>119</v>
      </c>
      <c r="D403" s="12" t="s">
        <v>120</v>
      </c>
      <c r="E403" s="12" t="s">
        <v>62</v>
      </c>
      <c r="F403" s="12" t="s">
        <v>63</v>
      </c>
      <c r="G403" s="15" t="s">
        <v>38</v>
      </c>
      <c r="H403" s="12" t="s">
        <v>121</v>
      </c>
      <c r="I403" s="12" t="s">
        <v>48</v>
      </c>
      <c r="J403" s="12" t="s">
        <v>122</v>
      </c>
      <c r="K403" s="12" t="s">
        <v>516</v>
      </c>
    </row>
    <row r="404" ht="15.75" customHeight="1">
      <c r="A404" s="86" t="s">
        <v>226</v>
      </c>
      <c r="B404" s="86" t="s">
        <v>404</v>
      </c>
      <c r="C404" s="12" t="s">
        <v>123</v>
      </c>
      <c r="D404" s="12" t="s">
        <v>125</v>
      </c>
      <c r="E404" s="12" t="s">
        <v>62</v>
      </c>
      <c r="F404" s="12" t="s">
        <v>63</v>
      </c>
      <c r="G404" s="15" t="s">
        <v>38</v>
      </c>
      <c r="H404" s="12" t="s">
        <v>128</v>
      </c>
      <c r="I404" s="12" t="s">
        <v>48</v>
      </c>
      <c r="J404" s="12" t="s">
        <v>129</v>
      </c>
      <c r="K404" s="12" t="s">
        <v>516</v>
      </c>
    </row>
    <row r="405" ht="15.75" customHeight="1">
      <c r="A405" s="86" t="s">
        <v>226</v>
      </c>
      <c r="B405" s="86" t="s">
        <v>404</v>
      </c>
      <c r="C405" s="12" t="s">
        <v>131</v>
      </c>
      <c r="D405" s="12" t="s">
        <v>132</v>
      </c>
      <c r="E405" s="12" t="s">
        <v>108</v>
      </c>
      <c r="F405" s="12" t="s">
        <v>58</v>
      </c>
      <c r="G405" s="15" t="s">
        <v>38</v>
      </c>
      <c r="H405" s="12" t="s">
        <v>133</v>
      </c>
      <c r="I405" s="12" t="s">
        <v>48</v>
      </c>
      <c r="J405" s="12" t="s">
        <v>134</v>
      </c>
      <c r="K405" s="12" t="s">
        <v>516</v>
      </c>
    </row>
    <row r="406" ht="15.75" customHeight="1">
      <c r="A406" s="86" t="s">
        <v>226</v>
      </c>
      <c r="B406" s="86" t="s">
        <v>404</v>
      </c>
      <c r="C406" s="12" t="s">
        <v>520</v>
      </c>
      <c r="D406" s="12" t="s">
        <v>521</v>
      </c>
      <c r="E406" s="12" t="s">
        <v>62</v>
      </c>
      <c r="F406" s="12" t="s">
        <v>63</v>
      </c>
      <c r="G406" s="15" t="s">
        <v>38</v>
      </c>
      <c r="H406" s="12" t="s">
        <v>190</v>
      </c>
      <c r="I406" s="12" t="s">
        <v>48</v>
      </c>
      <c r="J406" s="12" t="s">
        <v>191</v>
      </c>
      <c r="K406" s="12" t="s">
        <v>516</v>
      </c>
    </row>
    <row r="407" ht="15.75" customHeight="1">
      <c r="A407" s="86" t="s">
        <v>226</v>
      </c>
      <c r="B407" s="86" t="s">
        <v>404</v>
      </c>
      <c r="C407" s="12" t="s">
        <v>503</v>
      </c>
      <c r="D407" s="12" t="s">
        <v>504</v>
      </c>
      <c r="E407" s="12" t="s">
        <v>137</v>
      </c>
      <c r="F407" s="12" t="s">
        <v>37</v>
      </c>
      <c r="G407" s="15" t="s">
        <v>38</v>
      </c>
      <c r="H407" s="12" t="s">
        <v>460</v>
      </c>
      <c r="I407" s="12" t="s">
        <v>48</v>
      </c>
      <c r="J407" s="12" t="s">
        <v>505</v>
      </c>
      <c r="K407" s="12" t="s">
        <v>516</v>
      </c>
    </row>
    <row r="408" ht="15.75" customHeight="1">
      <c r="A408" s="86" t="s">
        <v>226</v>
      </c>
      <c r="B408" s="86" t="s">
        <v>404</v>
      </c>
      <c r="C408" s="12" t="s">
        <v>192</v>
      </c>
      <c r="D408" s="12" t="s">
        <v>193</v>
      </c>
      <c r="E408" s="12" t="s">
        <v>62</v>
      </c>
      <c r="F408" s="12" t="s">
        <v>63</v>
      </c>
      <c r="G408" s="15" t="s">
        <v>38</v>
      </c>
      <c r="H408" s="12" t="s">
        <v>190</v>
      </c>
      <c r="I408" s="12" t="s">
        <v>48</v>
      </c>
      <c r="J408" s="12" t="s">
        <v>194</v>
      </c>
      <c r="K408" s="12" t="s">
        <v>516</v>
      </c>
    </row>
    <row r="409" ht="15.75" customHeight="1">
      <c r="A409" s="86" t="s">
        <v>226</v>
      </c>
      <c r="B409" s="86" t="s">
        <v>404</v>
      </c>
      <c r="C409" s="12" t="s">
        <v>522</v>
      </c>
      <c r="D409" s="12" t="s">
        <v>523</v>
      </c>
      <c r="E409" s="12" t="s">
        <v>137</v>
      </c>
      <c r="F409" s="12" t="s">
        <v>37</v>
      </c>
      <c r="G409" s="15" t="s">
        <v>38</v>
      </c>
      <c r="H409" s="12" t="s">
        <v>190</v>
      </c>
      <c r="I409" s="12" t="s">
        <v>48</v>
      </c>
      <c r="J409" s="12" t="s">
        <v>524</v>
      </c>
      <c r="K409" s="12" t="s">
        <v>516</v>
      </c>
    </row>
    <row r="410" ht="15.75" customHeight="1">
      <c r="A410" s="86" t="s">
        <v>226</v>
      </c>
      <c r="B410" s="86" t="s">
        <v>404</v>
      </c>
      <c r="C410" s="12" t="s">
        <v>355</v>
      </c>
      <c r="D410" s="12" t="s">
        <v>356</v>
      </c>
      <c r="E410" s="12" t="s">
        <v>137</v>
      </c>
      <c r="F410" s="12" t="s">
        <v>37</v>
      </c>
      <c r="G410" s="15" t="s">
        <v>38</v>
      </c>
      <c r="H410" s="12" t="s">
        <v>128</v>
      </c>
      <c r="I410" s="12" t="s">
        <v>48</v>
      </c>
      <c r="J410" s="12" t="s">
        <v>357</v>
      </c>
      <c r="K410" s="12" t="s">
        <v>516</v>
      </c>
    </row>
    <row r="411" ht="15.75" customHeight="1">
      <c r="A411" s="86" t="s">
        <v>226</v>
      </c>
      <c r="B411" s="86" t="s">
        <v>404</v>
      </c>
      <c r="C411" s="12" t="s">
        <v>430</v>
      </c>
      <c r="D411" s="12" t="s">
        <v>431</v>
      </c>
      <c r="E411" s="12" t="s">
        <v>108</v>
      </c>
      <c r="F411" s="12" t="s">
        <v>58</v>
      </c>
      <c r="G411" s="15" t="s">
        <v>38</v>
      </c>
      <c r="H411" s="12" t="s">
        <v>128</v>
      </c>
      <c r="I411" s="12" t="s">
        <v>48</v>
      </c>
      <c r="J411" s="12" t="s">
        <v>110</v>
      </c>
      <c r="K411" s="12" t="s">
        <v>516</v>
      </c>
    </row>
    <row r="412" ht="15.75" customHeight="1">
      <c r="A412" s="86" t="s">
        <v>226</v>
      </c>
      <c r="B412" s="86" t="s">
        <v>404</v>
      </c>
      <c r="C412" s="12" t="s">
        <v>432</v>
      </c>
      <c r="D412" s="12" t="s">
        <v>434</v>
      </c>
      <c r="E412" s="12" t="s">
        <v>108</v>
      </c>
      <c r="F412" s="12" t="s">
        <v>58</v>
      </c>
      <c r="G412" s="15" t="s">
        <v>38</v>
      </c>
      <c r="H412" s="12" t="s">
        <v>190</v>
      </c>
      <c r="I412" s="12" t="s">
        <v>48</v>
      </c>
      <c r="J412" s="12" t="s">
        <v>110</v>
      </c>
      <c r="K412" s="12" t="s">
        <v>516</v>
      </c>
    </row>
    <row r="413" ht="15.75" customHeight="1">
      <c r="A413" s="86" t="s">
        <v>226</v>
      </c>
      <c r="B413" s="86" t="s">
        <v>404</v>
      </c>
      <c r="C413" s="12" t="s">
        <v>449</v>
      </c>
      <c r="D413" s="12" t="s">
        <v>450</v>
      </c>
      <c r="E413" s="12" t="s">
        <v>108</v>
      </c>
      <c r="F413" s="12" t="s">
        <v>58</v>
      </c>
      <c r="G413" s="15" t="s">
        <v>38</v>
      </c>
      <c r="H413" s="12" t="s">
        <v>190</v>
      </c>
      <c r="I413" s="12" t="s">
        <v>48</v>
      </c>
      <c r="J413" s="12" t="s">
        <v>110</v>
      </c>
      <c r="K413" s="12" t="s">
        <v>516</v>
      </c>
    </row>
    <row r="414" ht="15.75" customHeight="1">
      <c r="A414" s="86" t="s">
        <v>226</v>
      </c>
      <c r="B414" s="86" t="s">
        <v>404</v>
      </c>
      <c r="C414" s="12" t="s">
        <v>33</v>
      </c>
      <c r="D414" s="12" t="s">
        <v>165</v>
      </c>
      <c r="E414" s="12" t="s">
        <v>45</v>
      </c>
      <c r="F414" s="12" t="s">
        <v>37</v>
      </c>
      <c r="G414" s="12" t="s">
        <v>40</v>
      </c>
      <c r="H414" s="12" t="s">
        <v>64</v>
      </c>
      <c r="I414" s="12" t="s">
        <v>48</v>
      </c>
      <c r="J414" s="12" t="s">
        <v>41</v>
      </c>
      <c r="K414" s="12" t="s">
        <v>516</v>
      </c>
    </row>
    <row r="415" ht="15.75" customHeight="1">
      <c r="A415" s="86" t="s">
        <v>226</v>
      </c>
      <c r="B415" s="86" t="s">
        <v>404</v>
      </c>
      <c r="C415" s="12" t="s">
        <v>33</v>
      </c>
      <c r="D415" s="12" t="s">
        <v>49</v>
      </c>
      <c r="E415" s="12" t="s">
        <v>45</v>
      </c>
      <c r="F415" s="12" t="s">
        <v>37</v>
      </c>
      <c r="G415" s="12" t="s">
        <v>40</v>
      </c>
      <c r="H415" s="12" t="s">
        <v>50</v>
      </c>
      <c r="I415" s="12" t="s">
        <v>48</v>
      </c>
      <c r="J415" s="12" t="s">
        <v>41</v>
      </c>
      <c r="K415" s="12" t="s">
        <v>516</v>
      </c>
    </row>
    <row r="416" ht="15.75" customHeight="1">
      <c r="A416" s="86" t="s">
        <v>226</v>
      </c>
      <c r="B416" s="86" t="s">
        <v>404</v>
      </c>
      <c r="C416" s="12" t="s">
        <v>33</v>
      </c>
      <c r="D416" s="12" t="s">
        <v>52</v>
      </c>
      <c r="E416" s="12" t="s">
        <v>53</v>
      </c>
      <c r="F416" s="12" t="s">
        <v>37</v>
      </c>
      <c r="G416" s="12" t="s">
        <v>40</v>
      </c>
      <c r="H416" s="12" t="s">
        <v>54</v>
      </c>
      <c r="I416" s="12" t="s">
        <v>48</v>
      </c>
      <c r="J416" s="12" t="s">
        <v>41</v>
      </c>
      <c r="K416" s="12" t="s">
        <v>516</v>
      </c>
    </row>
    <row r="417" ht="15.75" customHeight="1">
      <c r="A417" s="86" t="s">
        <v>226</v>
      </c>
      <c r="B417" s="86" t="s">
        <v>404</v>
      </c>
      <c r="C417" s="12" t="s">
        <v>60</v>
      </c>
      <c r="D417" s="12" t="s">
        <v>61</v>
      </c>
      <c r="E417" s="12" t="s">
        <v>62</v>
      </c>
      <c r="F417" s="12" t="s">
        <v>63</v>
      </c>
      <c r="G417" s="12" t="s">
        <v>40</v>
      </c>
      <c r="H417" s="12" t="s">
        <v>64</v>
      </c>
      <c r="I417" s="12" t="s">
        <v>48</v>
      </c>
      <c r="J417" s="12" t="s">
        <v>65</v>
      </c>
      <c r="K417" s="12" t="s">
        <v>516</v>
      </c>
    </row>
    <row r="418" ht="15.75" customHeight="1">
      <c r="A418" s="86" t="s">
        <v>226</v>
      </c>
      <c r="B418" s="86" t="s">
        <v>404</v>
      </c>
      <c r="C418" s="12" t="s">
        <v>172</v>
      </c>
      <c r="D418" s="12" t="s">
        <v>173</v>
      </c>
      <c r="E418" s="12" t="s">
        <v>62</v>
      </c>
      <c r="F418" s="12" t="s">
        <v>63</v>
      </c>
      <c r="G418" s="12" t="s">
        <v>40</v>
      </c>
      <c r="H418" s="12" t="s">
        <v>64</v>
      </c>
      <c r="I418" s="12" t="s">
        <v>48</v>
      </c>
      <c r="J418" s="12" t="s">
        <v>174</v>
      </c>
      <c r="K418" s="12" t="s">
        <v>516</v>
      </c>
    </row>
    <row r="419" ht="15.75" customHeight="1">
      <c r="A419" s="86" t="s">
        <v>226</v>
      </c>
      <c r="B419" s="86" t="s">
        <v>404</v>
      </c>
      <c r="C419" s="12" t="s">
        <v>525</v>
      </c>
      <c r="D419" s="12" t="s">
        <v>526</v>
      </c>
      <c r="E419" s="12" t="s">
        <v>396</v>
      </c>
      <c r="F419" s="12" t="s">
        <v>37</v>
      </c>
      <c r="G419" s="12" t="s">
        <v>40</v>
      </c>
      <c r="H419" s="12" t="s">
        <v>527</v>
      </c>
      <c r="I419" s="12" t="s">
        <v>48</v>
      </c>
      <c r="J419" s="12" t="s">
        <v>528</v>
      </c>
      <c r="K419" s="12" t="s">
        <v>516</v>
      </c>
    </row>
    <row r="420" ht="15.75" customHeight="1">
      <c r="A420" s="86" t="s">
        <v>226</v>
      </c>
      <c r="B420" s="86" t="s">
        <v>404</v>
      </c>
      <c r="C420" s="12" t="s">
        <v>345</v>
      </c>
      <c r="D420" s="12" t="s">
        <v>346</v>
      </c>
      <c r="E420" s="12" t="s">
        <v>57</v>
      </c>
      <c r="F420" s="12" t="s">
        <v>58</v>
      </c>
      <c r="G420" s="12" t="s">
        <v>40</v>
      </c>
      <c r="H420" s="12" t="s">
        <v>347</v>
      </c>
      <c r="I420" s="12" t="s">
        <v>48</v>
      </c>
      <c r="J420" s="12" t="s">
        <v>348</v>
      </c>
      <c r="K420" s="12" t="s">
        <v>516</v>
      </c>
    </row>
    <row r="421" ht="15.75" customHeight="1">
      <c r="A421" s="86" t="s">
        <v>226</v>
      </c>
      <c r="B421" s="86" t="s">
        <v>411</v>
      </c>
      <c r="C421" s="12" t="s">
        <v>33</v>
      </c>
      <c r="D421" s="12" t="s">
        <v>458</v>
      </c>
      <c r="E421" s="12" t="s">
        <v>53</v>
      </c>
      <c r="F421" s="12" t="s">
        <v>37</v>
      </c>
      <c r="G421" s="15" t="s">
        <v>38</v>
      </c>
      <c r="H421" s="12" t="s">
        <v>335</v>
      </c>
      <c r="I421" s="12" t="s">
        <v>48</v>
      </c>
      <c r="J421" s="12" t="s">
        <v>41</v>
      </c>
      <c r="K421" s="12" t="s">
        <v>529</v>
      </c>
    </row>
    <row r="422" ht="15.75" customHeight="1">
      <c r="A422" s="86" t="s">
        <v>226</v>
      </c>
      <c r="B422" s="86" t="s">
        <v>411</v>
      </c>
      <c r="C422" s="12" t="s">
        <v>33</v>
      </c>
      <c r="D422" s="12" t="s">
        <v>489</v>
      </c>
      <c r="E422" s="12" t="s">
        <v>53</v>
      </c>
      <c r="F422" s="12" t="s">
        <v>37</v>
      </c>
      <c r="G422" s="15" t="s">
        <v>38</v>
      </c>
      <c r="H422" s="12" t="s">
        <v>335</v>
      </c>
      <c r="I422" s="12" t="s">
        <v>48</v>
      </c>
      <c r="J422" s="12" t="s">
        <v>41</v>
      </c>
      <c r="K422" s="12" t="s">
        <v>529</v>
      </c>
    </row>
    <row r="423" ht="15.75" customHeight="1">
      <c r="A423" s="86" t="s">
        <v>226</v>
      </c>
      <c r="B423" s="86" t="s">
        <v>411</v>
      </c>
      <c r="C423" s="12" t="s">
        <v>394</v>
      </c>
      <c r="D423" s="12" t="s">
        <v>395</v>
      </c>
      <c r="E423" s="12" t="s">
        <v>396</v>
      </c>
      <c r="F423" s="12" t="s">
        <v>37</v>
      </c>
      <c r="G423" s="15" t="s">
        <v>38</v>
      </c>
      <c r="H423" s="12" t="s">
        <v>138</v>
      </c>
      <c r="I423" s="12" t="s">
        <v>48</v>
      </c>
      <c r="J423" s="12" t="s">
        <v>397</v>
      </c>
      <c r="K423" s="12" t="s">
        <v>529</v>
      </c>
    </row>
    <row r="424" ht="15.75" customHeight="1">
      <c r="A424" s="86" t="s">
        <v>226</v>
      </c>
      <c r="B424" s="86" t="s">
        <v>411</v>
      </c>
      <c r="C424" s="12" t="s">
        <v>530</v>
      </c>
      <c r="D424" s="12" t="s">
        <v>531</v>
      </c>
      <c r="E424" s="12" t="s">
        <v>532</v>
      </c>
      <c r="F424" s="12" t="s">
        <v>63</v>
      </c>
      <c r="G424" s="15" t="s">
        <v>38</v>
      </c>
      <c r="H424" s="12" t="s">
        <v>138</v>
      </c>
      <c r="I424" s="12" t="s">
        <v>48</v>
      </c>
      <c r="J424" s="12" t="s">
        <v>533</v>
      </c>
      <c r="K424" s="12" t="s">
        <v>529</v>
      </c>
    </row>
    <row r="425" ht="15.75" customHeight="1">
      <c r="A425" s="86" t="s">
        <v>226</v>
      </c>
      <c r="B425" s="86" t="s">
        <v>411</v>
      </c>
      <c r="C425" s="12" t="s">
        <v>135</v>
      </c>
      <c r="D425" s="12" t="s">
        <v>136</v>
      </c>
      <c r="E425" s="12" t="s">
        <v>137</v>
      </c>
      <c r="F425" s="12" t="s">
        <v>37</v>
      </c>
      <c r="G425" s="15" t="s">
        <v>38</v>
      </c>
      <c r="H425" s="12" t="s">
        <v>138</v>
      </c>
      <c r="I425" s="12" t="s">
        <v>48</v>
      </c>
      <c r="J425" s="12" t="s">
        <v>139</v>
      </c>
      <c r="K425" s="12" t="s">
        <v>529</v>
      </c>
    </row>
    <row r="426" ht="15.75" customHeight="1">
      <c r="A426" s="86" t="s">
        <v>226</v>
      </c>
      <c r="B426" s="86" t="s">
        <v>411</v>
      </c>
      <c r="C426" s="12" t="s">
        <v>145</v>
      </c>
      <c r="D426" s="12" t="s">
        <v>146</v>
      </c>
      <c r="E426" s="12" t="s">
        <v>137</v>
      </c>
      <c r="F426" s="12" t="s">
        <v>37</v>
      </c>
      <c r="G426" s="15" t="s">
        <v>38</v>
      </c>
      <c r="H426" s="12" t="s">
        <v>138</v>
      </c>
      <c r="I426" s="12" t="s">
        <v>48</v>
      </c>
      <c r="J426" s="12" t="s">
        <v>148</v>
      </c>
      <c r="K426" s="12" t="s">
        <v>529</v>
      </c>
    </row>
    <row r="427" ht="15.75" customHeight="1">
      <c r="A427" s="86" t="s">
        <v>226</v>
      </c>
      <c r="B427" s="86" t="s">
        <v>411</v>
      </c>
      <c r="C427" s="12" t="s">
        <v>537</v>
      </c>
      <c r="D427" s="12" t="s">
        <v>538</v>
      </c>
      <c r="E427" s="12" t="s">
        <v>137</v>
      </c>
      <c r="F427" s="12" t="s">
        <v>37</v>
      </c>
      <c r="G427" s="15" t="s">
        <v>38</v>
      </c>
      <c r="H427" s="12" t="s">
        <v>335</v>
      </c>
      <c r="I427" s="12" t="s">
        <v>48</v>
      </c>
      <c r="J427" s="12" t="s">
        <v>539</v>
      </c>
      <c r="K427" s="12" t="s">
        <v>529</v>
      </c>
    </row>
    <row r="428" ht="15.75" customHeight="1">
      <c r="A428" s="86" t="s">
        <v>226</v>
      </c>
      <c r="B428" s="86" t="s">
        <v>411</v>
      </c>
      <c r="C428" s="12" t="s">
        <v>333</v>
      </c>
      <c r="D428" s="12" t="s">
        <v>334</v>
      </c>
      <c r="E428" s="12" t="s">
        <v>137</v>
      </c>
      <c r="F428" s="12" t="s">
        <v>37</v>
      </c>
      <c r="G428" s="15" t="s">
        <v>38</v>
      </c>
      <c r="H428" s="12" t="s">
        <v>335</v>
      </c>
      <c r="I428" s="12" t="s">
        <v>40</v>
      </c>
      <c r="J428" s="12" t="s">
        <v>336</v>
      </c>
      <c r="K428" s="12" t="s">
        <v>529</v>
      </c>
    </row>
    <row r="429" ht="15.75" customHeight="1">
      <c r="A429" s="86" t="s">
        <v>226</v>
      </c>
      <c r="B429" s="86" t="s">
        <v>411</v>
      </c>
      <c r="C429" s="12" t="s">
        <v>540</v>
      </c>
      <c r="D429" s="12" t="s">
        <v>541</v>
      </c>
      <c r="E429" s="12" t="s">
        <v>532</v>
      </c>
      <c r="F429" s="12" t="s">
        <v>63</v>
      </c>
      <c r="G429" s="15" t="s">
        <v>38</v>
      </c>
      <c r="H429" s="12" t="s">
        <v>138</v>
      </c>
      <c r="I429" s="12" t="s">
        <v>48</v>
      </c>
      <c r="J429" s="12" t="s">
        <v>533</v>
      </c>
      <c r="K429" s="12" t="s">
        <v>529</v>
      </c>
    </row>
    <row r="430" ht="15.75" customHeight="1">
      <c r="A430" s="86" t="s">
        <v>226</v>
      </c>
      <c r="B430" s="86" t="s">
        <v>411</v>
      </c>
      <c r="C430" s="12" t="s">
        <v>542</v>
      </c>
      <c r="D430" s="12" t="s">
        <v>543</v>
      </c>
      <c r="E430" s="12" t="s">
        <v>532</v>
      </c>
      <c r="F430" s="12" t="s">
        <v>63</v>
      </c>
      <c r="G430" s="15" t="s">
        <v>38</v>
      </c>
      <c r="H430" s="12" t="s">
        <v>138</v>
      </c>
      <c r="I430" s="12" t="s">
        <v>48</v>
      </c>
      <c r="J430" s="12" t="s">
        <v>533</v>
      </c>
      <c r="K430" s="12" t="s">
        <v>529</v>
      </c>
    </row>
    <row r="431" ht="15.75" customHeight="1">
      <c r="A431" s="86" t="s">
        <v>226</v>
      </c>
      <c r="B431" s="86" t="s">
        <v>411</v>
      </c>
      <c r="C431" s="12" t="s">
        <v>481</v>
      </c>
      <c r="D431" s="12" t="s">
        <v>482</v>
      </c>
      <c r="E431" s="12" t="s">
        <v>156</v>
      </c>
      <c r="F431" s="12" t="s">
        <v>37</v>
      </c>
      <c r="G431" s="15" t="s">
        <v>38</v>
      </c>
      <c r="H431" s="12" t="s">
        <v>376</v>
      </c>
      <c r="I431" s="12" t="s">
        <v>48</v>
      </c>
      <c r="J431" s="12" t="s">
        <v>483</v>
      </c>
      <c r="K431" s="12" t="s">
        <v>529</v>
      </c>
    </row>
    <row r="432" ht="15.75" customHeight="1">
      <c r="A432" s="86" t="s">
        <v>226</v>
      </c>
      <c r="B432" s="86" t="s">
        <v>411</v>
      </c>
      <c r="C432" s="12" t="s">
        <v>484</v>
      </c>
      <c r="D432" s="12" t="s">
        <v>485</v>
      </c>
      <c r="E432" s="12" t="s">
        <v>108</v>
      </c>
      <c r="F432" s="12" t="s">
        <v>58</v>
      </c>
      <c r="G432" s="15" t="s">
        <v>38</v>
      </c>
      <c r="H432" s="12" t="s">
        <v>376</v>
      </c>
      <c r="I432" s="12" t="s">
        <v>48</v>
      </c>
      <c r="J432" s="12" t="s">
        <v>486</v>
      </c>
      <c r="K432" s="12" t="s">
        <v>529</v>
      </c>
    </row>
    <row r="433" ht="15.75" customHeight="1">
      <c r="A433" s="86" t="s">
        <v>226</v>
      </c>
      <c r="B433" s="86" t="s">
        <v>411</v>
      </c>
      <c r="C433" s="12" t="s">
        <v>378</v>
      </c>
      <c r="D433" s="12" t="s">
        <v>379</v>
      </c>
      <c r="E433" s="12" t="s">
        <v>205</v>
      </c>
      <c r="F433" s="12" t="s">
        <v>58</v>
      </c>
      <c r="G433" s="15" t="s">
        <v>38</v>
      </c>
      <c r="H433" s="12" t="s">
        <v>138</v>
      </c>
      <c r="I433" s="12" t="s">
        <v>48</v>
      </c>
      <c r="J433" s="12" t="s">
        <v>380</v>
      </c>
      <c r="K433" s="12" t="s">
        <v>529</v>
      </c>
    </row>
    <row r="434" ht="15.75" customHeight="1">
      <c r="A434" s="86" t="s">
        <v>226</v>
      </c>
      <c r="B434" s="86" t="s">
        <v>411</v>
      </c>
      <c r="C434" s="12" t="s">
        <v>545</v>
      </c>
      <c r="D434" s="12" t="s">
        <v>546</v>
      </c>
      <c r="E434" s="12" t="s">
        <v>156</v>
      </c>
      <c r="F434" s="12" t="s">
        <v>37</v>
      </c>
      <c r="G434" s="15" t="s">
        <v>38</v>
      </c>
      <c r="H434" s="12" t="s">
        <v>335</v>
      </c>
      <c r="I434" s="12" t="s">
        <v>48</v>
      </c>
      <c r="J434" s="12" t="s">
        <v>547</v>
      </c>
      <c r="K434" s="12" t="s">
        <v>529</v>
      </c>
    </row>
    <row r="435" ht="15.75" customHeight="1">
      <c r="A435" s="86" t="s">
        <v>226</v>
      </c>
      <c r="B435" s="86" t="s">
        <v>411</v>
      </c>
      <c r="C435" s="12" t="s">
        <v>525</v>
      </c>
      <c r="D435" s="12" t="s">
        <v>526</v>
      </c>
      <c r="E435" s="12" t="s">
        <v>396</v>
      </c>
      <c r="F435" s="12" t="s">
        <v>37</v>
      </c>
      <c r="G435" s="15" t="s">
        <v>38</v>
      </c>
      <c r="H435" s="12" t="s">
        <v>527</v>
      </c>
      <c r="I435" s="12" t="s">
        <v>48</v>
      </c>
      <c r="J435" s="12" t="s">
        <v>528</v>
      </c>
      <c r="K435" s="12" t="s">
        <v>529</v>
      </c>
    </row>
    <row r="436" ht="15.75" customHeight="1">
      <c r="A436" s="86" t="s">
        <v>226</v>
      </c>
      <c r="B436" s="86" t="s">
        <v>411</v>
      </c>
      <c r="C436" s="12" t="s">
        <v>149</v>
      </c>
      <c r="D436" s="12" t="s">
        <v>150</v>
      </c>
      <c r="E436" s="12" t="s">
        <v>137</v>
      </c>
      <c r="F436" s="12" t="s">
        <v>37</v>
      </c>
      <c r="G436" s="15" t="s">
        <v>38</v>
      </c>
      <c r="H436" s="12" t="s">
        <v>138</v>
      </c>
      <c r="I436" s="12" t="s">
        <v>48</v>
      </c>
      <c r="J436" s="12" t="s">
        <v>153</v>
      </c>
      <c r="K436" s="12" t="s">
        <v>529</v>
      </c>
    </row>
    <row r="437" ht="15.75" customHeight="1">
      <c r="A437" s="86" t="s">
        <v>226</v>
      </c>
      <c r="B437" s="86" t="s">
        <v>411</v>
      </c>
      <c r="C437" s="12" t="s">
        <v>548</v>
      </c>
      <c r="D437" s="12" t="s">
        <v>549</v>
      </c>
      <c r="E437" s="12" t="s">
        <v>137</v>
      </c>
      <c r="F437" s="12" t="s">
        <v>37</v>
      </c>
      <c r="G437" s="15" t="s">
        <v>38</v>
      </c>
      <c r="H437" s="12" t="s">
        <v>335</v>
      </c>
      <c r="I437" s="12" t="s">
        <v>48</v>
      </c>
      <c r="J437" s="12" t="s">
        <v>550</v>
      </c>
      <c r="K437" s="12" t="s">
        <v>529</v>
      </c>
    </row>
    <row r="438" ht="15.75" customHeight="1">
      <c r="A438" s="86" t="s">
        <v>226</v>
      </c>
      <c r="B438" s="86" t="s">
        <v>411</v>
      </c>
      <c r="C438" s="12" t="s">
        <v>551</v>
      </c>
      <c r="D438" s="12" t="s">
        <v>552</v>
      </c>
      <c r="E438" s="12" t="s">
        <v>532</v>
      </c>
      <c r="F438" s="12" t="s">
        <v>63</v>
      </c>
      <c r="G438" s="15" t="s">
        <v>38</v>
      </c>
      <c r="H438" s="12" t="s">
        <v>138</v>
      </c>
      <c r="I438" s="12" t="s">
        <v>48</v>
      </c>
      <c r="J438" s="12" t="s">
        <v>533</v>
      </c>
      <c r="K438" s="12" t="s">
        <v>529</v>
      </c>
    </row>
    <row r="439" ht="15.75" customHeight="1">
      <c r="A439" s="86" t="s">
        <v>226</v>
      </c>
      <c r="B439" s="86" t="s">
        <v>411</v>
      </c>
      <c r="C439" s="12" t="s">
        <v>374</v>
      </c>
      <c r="D439" s="12" t="s">
        <v>375</v>
      </c>
      <c r="E439" s="12" t="s">
        <v>137</v>
      </c>
      <c r="F439" s="12" t="s">
        <v>37</v>
      </c>
      <c r="G439" s="15" t="s">
        <v>38</v>
      </c>
      <c r="H439" s="12" t="s">
        <v>376</v>
      </c>
      <c r="I439" s="12" t="s">
        <v>48</v>
      </c>
      <c r="J439" s="12" t="s">
        <v>377</v>
      </c>
      <c r="K439" s="12" t="s">
        <v>529</v>
      </c>
    </row>
    <row r="440" ht="15.75" customHeight="1">
      <c r="A440" s="86" t="s">
        <v>226</v>
      </c>
      <c r="B440" s="86" t="s">
        <v>411</v>
      </c>
      <c r="C440" s="12" t="s">
        <v>384</v>
      </c>
      <c r="D440" s="12" t="s">
        <v>385</v>
      </c>
      <c r="E440" s="12" t="s">
        <v>137</v>
      </c>
      <c r="F440" s="12" t="s">
        <v>37</v>
      </c>
      <c r="G440" s="15" t="s">
        <v>38</v>
      </c>
      <c r="H440" s="12" t="s">
        <v>386</v>
      </c>
      <c r="I440" s="12" t="s">
        <v>48</v>
      </c>
      <c r="J440" s="12" t="s">
        <v>387</v>
      </c>
      <c r="K440" s="12" t="s">
        <v>529</v>
      </c>
    </row>
    <row r="441" ht="15.75" customHeight="1">
      <c r="A441" s="86" t="s">
        <v>226</v>
      </c>
      <c r="B441" s="86" t="s">
        <v>411</v>
      </c>
      <c r="C441" s="12" t="s">
        <v>535</v>
      </c>
      <c r="D441" s="12" t="s">
        <v>536</v>
      </c>
      <c r="E441" s="12" t="s">
        <v>108</v>
      </c>
      <c r="F441" s="12" t="s">
        <v>58</v>
      </c>
      <c r="G441" s="15" t="s">
        <v>38</v>
      </c>
      <c r="H441" s="12" t="s">
        <v>335</v>
      </c>
      <c r="I441" s="12" t="s">
        <v>48</v>
      </c>
      <c r="J441" s="12" t="s">
        <v>110</v>
      </c>
      <c r="K441" s="12" t="s">
        <v>529</v>
      </c>
    </row>
    <row r="442" ht="15.75" customHeight="1">
      <c r="A442" s="86" t="s">
        <v>226</v>
      </c>
      <c r="B442" s="86" t="s">
        <v>411</v>
      </c>
      <c r="C442" s="12" t="s">
        <v>451</v>
      </c>
      <c r="D442" s="12" t="s">
        <v>452</v>
      </c>
      <c r="E442" s="12" t="s">
        <v>108</v>
      </c>
      <c r="F442" s="12" t="s">
        <v>58</v>
      </c>
      <c r="G442" s="15" t="s">
        <v>38</v>
      </c>
      <c r="H442" s="12" t="s">
        <v>138</v>
      </c>
      <c r="I442" s="12" t="s">
        <v>48</v>
      </c>
      <c r="J442" s="12" t="s">
        <v>453</v>
      </c>
      <c r="K442" s="12" t="s">
        <v>529</v>
      </c>
    </row>
    <row r="443" ht="15.75" customHeight="1">
      <c r="A443" s="86" t="s">
        <v>226</v>
      </c>
      <c r="B443" s="86" t="s">
        <v>411</v>
      </c>
      <c r="C443" s="12" t="s">
        <v>553</v>
      </c>
      <c r="D443" s="12" t="s">
        <v>554</v>
      </c>
      <c r="E443" s="12" t="s">
        <v>396</v>
      </c>
      <c r="F443" s="12" t="s">
        <v>37</v>
      </c>
      <c r="G443" s="15" t="s">
        <v>38</v>
      </c>
      <c r="H443" s="12" t="s">
        <v>335</v>
      </c>
      <c r="I443" s="12" t="s">
        <v>48</v>
      </c>
      <c r="J443" s="12" t="s">
        <v>555</v>
      </c>
      <c r="K443" s="12" t="s">
        <v>529</v>
      </c>
    </row>
    <row r="444" ht="15.75" customHeight="1">
      <c r="A444" s="86" t="s">
        <v>226</v>
      </c>
      <c r="B444" s="86" t="s">
        <v>411</v>
      </c>
      <c r="C444" s="12" t="s">
        <v>33</v>
      </c>
      <c r="D444" s="12" t="s">
        <v>341</v>
      </c>
      <c r="E444" s="12" t="s">
        <v>219</v>
      </c>
      <c r="F444" s="12" t="s">
        <v>37</v>
      </c>
      <c r="G444" s="12" t="s">
        <v>40</v>
      </c>
      <c r="H444" s="12" t="s">
        <v>47</v>
      </c>
      <c r="I444" s="12" t="s">
        <v>48</v>
      </c>
      <c r="J444" s="12" t="s">
        <v>41</v>
      </c>
      <c r="K444" s="12" t="s">
        <v>529</v>
      </c>
    </row>
    <row r="445" ht="15.75" customHeight="1">
      <c r="A445" s="86" t="s">
        <v>226</v>
      </c>
      <c r="B445" s="86" t="s">
        <v>411</v>
      </c>
      <c r="C445" s="12" t="s">
        <v>33</v>
      </c>
      <c r="D445" s="12" t="s">
        <v>44</v>
      </c>
      <c r="E445" s="12" t="s">
        <v>45</v>
      </c>
      <c r="F445" s="12" t="s">
        <v>37</v>
      </c>
      <c r="G445" s="12" t="s">
        <v>40</v>
      </c>
      <c r="H445" s="12" t="s">
        <v>47</v>
      </c>
      <c r="I445" s="12" t="s">
        <v>48</v>
      </c>
      <c r="J445" s="12" t="s">
        <v>41</v>
      </c>
      <c r="K445" s="12" t="s">
        <v>529</v>
      </c>
    </row>
    <row r="446" ht="15.75" customHeight="1">
      <c r="A446" s="86" t="s">
        <v>226</v>
      </c>
      <c r="B446" s="86" t="s">
        <v>411</v>
      </c>
      <c r="C446" s="12" t="s">
        <v>33</v>
      </c>
      <c r="D446" s="12" t="s">
        <v>459</v>
      </c>
      <c r="E446" s="12" t="s">
        <v>53</v>
      </c>
      <c r="F446" s="12" t="s">
        <v>37</v>
      </c>
      <c r="G446" s="12" t="s">
        <v>40</v>
      </c>
      <c r="H446" s="12" t="s">
        <v>460</v>
      </c>
      <c r="I446" s="12" t="s">
        <v>48</v>
      </c>
      <c r="J446" s="12" t="s">
        <v>41</v>
      </c>
      <c r="K446" s="12" t="s">
        <v>529</v>
      </c>
    </row>
    <row r="447" ht="15.75" customHeight="1">
      <c r="A447" s="86" t="s">
        <v>226</v>
      </c>
      <c r="B447" s="86" t="s">
        <v>411</v>
      </c>
      <c r="C447" s="12" t="s">
        <v>33</v>
      </c>
      <c r="D447" s="12" t="s">
        <v>117</v>
      </c>
      <c r="E447" s="12" t="s">
        <v>53</v>
      </c>
      <c r="F447" s="12" t="s">
        <v>37</v>
      </c>
      <c r="G447" s="12" t="s">
        <v>40</v>
      </c>
      <c r="H447" s="12" t="s">
        <v>118</v>
      </c>
      <c r="I447" s="12" t="s">
        <v>40</v>
      </c>
      <c r="J447" s="12" t="s">
        <v>41</v>
      </c>
      <c r="K447" s="12" t="s">
        <v>529</v>
      </c>
    </row>
    <row r="448" ht="15.75" customHeight="1">
      <c r="A448" s="86" t="s">
        <v>226</v>
      </c>
      <c r="B448" s="86" t="s">
        <v>411</v>
      </c>
      <c r="C448" s="12" t="s">
        <v>517</v>
      </c>
      <c r="D448" s="12" t="s">
        <v>518</v>
      </c>
      <c r="E448" s="12" t="s">
        <v>396</v>
      </c>
      <c r="F448" s="12" t="s">
        <v>37</v>
      </c>
      <c r="G448" s="12" t="s">
        <v>40</v>
      </c>
      <c r="H448" s="12" t="s">
        <v>460</v>
      </c>
      <c r="I448" s="12" t="s">
        <v>48</v>
      </c>
      <c r="J448" s="12" t="s">
        <v>519</v>
      </c>
      <c r="K448" s="12" t="s">
        <v>529</v>
      </c>
    </row>
    <row r="449" ht="15.75" customHeight="1">
      <c r="A449" s="86" t="s">
        <v>226</v>
      </c>
      <c r="B449" s="86" t="s">
        <v>411</v>
      </c>
      <c r="C449" s="12" t="s">
        <v>55</v>
      </c>
      <c r="D449" s="12" t="s">
        <v>56</v>
      </c>
      <c r="E449" s="12" t="s">
        <v>57</v>
      </c>
      <c r="F449" s="12" t="s">
        <v>58</v>
      </c>
      <c r="G449" s="12" t="s">
        <v>40</v>
      </c>
      <c r="H449" s="12" t="s">
        <v>47</v>
      </c>
      <c r="I449" s="12" t="s">
        <v>48</v>
      </c>
      <c r="J449" s="12" t="s">
        <v>59</v>
      </c>
      <c r="K449" s="12" t="s">
        <v>529</v>
      </c>
    </row>
    <row r="450" ht="15.75" customHeight="1">
      <c r="A450" s="86" t="s">
        <v>226</v>
      </c>
      <c r="B450" s="86" t="s">
        <v>411</v>
      </c>
      <c r="C450" s="12" t="s">
        <v>338</v>
      </c>
      <c r="D450" s="12" t="s">
        <v>339</v>
      </c>
      <c r="E450" s="12" t="s">
        <v>57</v>
      </c>
      <c r="F450" s="12" t="s">
        <v>58</v>
      </c>
      <c r="G450" s="12" t="s">
        <v>40</v>
      </c>
      <c r="H450" s="12" t="s">
        <v>47</v>
      </c>
      <c r="I450" s="12" t="s">
        <v>48</v>
      </c>
      <c r="J450" s="12" t="s">
        <v>340</v>
      </c>
      <c r="K450" s="12" t="s">
        <v>529</v>
      </c>
    </row>
    <row r="451" ht="15.75" customHeight="1">
      <c r="A451" s="86" t="s">
        <v>226</v>
      </c>
      <c r="B451" s="86" t="s">
        <v>411</v>
      </c>
      <c r="C451" s="12" t="s">
        <v>131</v>
      </c>
      <c r="D451" s="12" t="s">
        <v>132</v>
      </c>
      <c r="E451" s="12" t="s">
        <v>108</v>
      </c>
      <c r="F451" s="12" t="s">
        <v>58</v>
      </c>
      <c r="G451" s="12" t="s">
        <v>40</v>
      </c>
      <c r="H451" s="12" t="s">
        <v>133</v>
      </c>
      <c r="I451" s="12" t="s">
        <v>48</v>
      </c>
      <c r="J451" s="12" t="s">
        <v>134</v>
      </c>
      <c r="K451" s="12" t="s">
        <v>529</v>
      </c>
    </row>
    <row r="452" ht="15.75" customHeight="1">
      <c r="A452" s="86" t="s">
        <v>226</v>
      </c>
      <c r="B452" s="86" t="s">
        <v>411</v>
      </c>
      <c r="C452" s="12" t="s">
        <v>503</v>
      </c>
      <c r="D452" s="12" t="s">
        <v>504</v>
      </c>
      <c r="E452" s="12" t="s">
        <v>137</v>
      </c>
      <c r="F452" s="12" t="s">
        <v>37</v>
      </c>
      <c r="G452" s="12" t="s">
        <v>40</v>
      </c>
      <c r="H452" s="12" t="s">
        <v>460</v>
      </c>
      <c r="I452" s="12" t="s">
        <v>48</v>
      </c>
      <c r="J452" s="12" t="s">
        <v>505</v>
      </c>
      <c r="K452" s="12" t="s">
        <v>529</v>
      </c>
    </row>
    <row r="453" ht="15.75" customHeight="1">
      <c r="A453" s="86" t="s">
        <v>226</v>
      </c>
      <c r="B453" s="86" t="s">
        <v>411</v>
      </c>
      <c r="C453" s="12" t="s">
        <v>381</v>
      </c>
      <c r="D453" s="12" t="s">
        <v>382</v>
      </c>
      <c r="E453" s="12" t="s">
        <v>57</v>
      </c>
      <c r="F453" s="12" t="s">
        <v>58</v>
      </c>
      <c r="G453" s="12" t="s">
        <v>40</v>
      </c>
      <c r="H453" s="12" t="s">
        <v>47</v>
      </c>
      <c r="I453" s="12" t="s">
        <v>48</v>
      </c>
      <c r="J453" s="12" t="s">
        <v>383</v>
      </c>
      <c r="K453" s="12" t="s">
        <v>529</v>
      </c>
    </row>
    <row r="454" ht="15.75" customHeight="1">
      <c r="A454" s="86" t="s">
        <v>226</v>
      </c>
      <c r="B454" s="86" t="s">
        <v>411</v>
      </c>
      <c r="C454" s="12" t="s">
        <v>413</v>
      </c>
      <c r="D454" s="12" t="s">
        <v>414</v>
      </c>
      <c r="E454" s="12" t="s">
        <v>137</v>
      </c>
      <c r="F454" s="12" t="s">
        <v>37</v>
      </c>
      <c r="G454" s="12" t="s">
        <v>40</v>
      </c>
      <c r="H454" s="12" t="s">
        <v>118</v>
      </c>
      <c r="I454" s="12" t="s">
        <v>48</v>
      </c>
      <c r="J454" s="12" t="s">
        <v>415</v>
      </c>
      <c r="K454" s="12" t="s">
        <v>529</v>
      </c>
    </row>
    <row r="455" ht="15.75" customHeight="1">
      <c r="A455" s="86" t="s">
        <v>226</v>
      </c>
      <c r="B455" s="86" t="s">
        <v>411</v>
      </c>
      <c r="C455" s="12" t="s">
        <v>416</v>
      </c>
      <c r="D455" s="12" t="s">
        <v>417</v>
      </c>
      <c r="E455" s="12" t="s">
        <v>396</v>
      </c>
      <c r="F455" s="12" t="s">
        <v>37</v>
      </c>
      <c r="G455" s="12" t="s">
        <v>40</v>
      </c>
      <c r="H455" s="12" t="s">
        <v>118</v>
      </c>
      <c r="I455" s="12" t="s">
        <v>48</v>
      </c>
      <c r="J455" s="12" t="s">
        <v>418</v>
      </c>
      <c r="K455" s="12" t="s">
        <v>529</v>
      </c>
    </row>
    <row r="456" ht="15.75" customHeight="1">
      <c r="A456" s="86" t="s">
        <v>226</v>
      </c>
      <c r="B456" s="86" t="s">
        <v>419</v>
      </c>
      <c r="C456" s="12" t="s">
        <v>394</v>
      </c>
      <c r="D456" s="12" t="s">
        <v>395</v>
      </c>
      <c r="E456" s="12" t="s">
        <v>396</v>
      </c>
      <c r="F456" s="12" t="s">
        <v>37</v>
      </c>
      <c r="G456" s="15" t="s">
        <v>38</v>
      </c>
      <c r="H456" s="12" t="s">
        <v>138</v>
      </c>
      <c r="I456" s="12" t="s">
        <v>48</v>
      </c>
      <c r="J456" s="12" t="s">
        <v>397</v>
      </c>
      <c r="K456" s="12" t="s">
        <v>305</v>
      </c>
    </row>
    <row r="457" ht="15.75" customHeight="1">
      <c r="A457" s="86" t="s">
        <v>226</v>
      </c>
      <c r="B457" s="86" t="s">
        <v>419</v>
      </c>
      <c r="C457" s="12" t="s">
        <v>342</v>
      </c>
      <c r="D457" s="12" t="s">
        <v>343</v>
      </c>
      <c r="E457" s="12" t="s">
        <v>205</v>
      </c>
      <c r="F457" s="12" t="s">
        <v>58</v>
      </c>
      <c r="G457" s="15" t="s">
        <v>38</v>
      </c>
      <c r="H457" s="12" t="s">
        <v>39</v>
      </c>
      <c r="I457" s="12" t="s">
        <v>48</v>
      </c>
      <c r="J457" s="12" t="s">
        <v>344</v>
      </c>
      <c r="K457" s="12" t="s">
        <v>305</v>
      </c>
    </row>
    <row r="458" ht="15.75" customHeight="1">
      <c r="A458" s="86" t="s">
        <v>226</v>
      </c>
      <c r="B458" s="86" t="s">
        <v>419</v>
      </c>
      <c r="C458" s="12" t="s">
        <v>361</v>
      </c>
      <c r="D458" s="12" t="s">
        <v>362</v>
      </c>
      <c r="E458" s="12" t="s">
        <v>205</v>
      </c>
      <c r="F458" s="12" t="s">
        <v>58</v>
      </c>
      <c r="G458" s="15" t="s">
        <v>38</v>
      </c>
      <c r="H458" s="12" t="s">
        <v>68</v>
      </c>
      <c r="I458" s="12" t="s">
        <v>48</v>
      </c>
      <c r="J458" s="12" t="s">
        <v>363</v>
      </c>
      <c r="K458" s="12" t="s">
        <v>305</v>
      </c>
    </row>
    <row r="459" ht="15.75" customHeight="1">
      <c r="A459" s="86" t="s">
        <v>226</v>
      </c>
      <c r="B459" s="86" t="s">
        <v>419</v>
      </c>
      <c r="C459" s="12" t="s">
        <v>333</v>
      </c>
      <c r="D459" s="12" t="s">
        <v>334</v>
      </c>
      <c r="E459" s="12" t="s">
        <v>137</v>
      </c>
      <c r="F459" s="12" t="s">
        <v>37</v>
      </c>
      <c r="G459" s="15" t="s">
        <v>38</v>
      </c>
      <c r="H459" s="12" t="s">
        <v>335</v>
      </c>
      <c r="I459" s="12" t="s">
        <v>40</v>
      </c>
      <c r="J459" s="12" t="s">
        <v>336</v>
      </c>
      <c r="K459" s="12" t="s">
        <v>305</v>
      </c>
    </row>
    <row r="460" ht="15.75" customHeight="1">
      <c r="A460" s="86" t="s">
        <v>226</v>
      </c>
      <c r="B460" s="86" t="s">
        <v>419</v>
      </c>
      <c r="C460" s="12" t="s">
        <v>481</v>
      </c>
      <c r="D460" s="12" t="s">
        <v>482</v>
      </c>
      <c r="E460" s="12" t="s">
        <v>156</v>
      </c>
      <c r="F460" s="12" t="s">
        <v>37</v>
      </c>
      <c r="G460" s="15" t="s">
        <v>38</v>
      </c>
      <c r="H460" s="12" t="s">
        <v>376</v>
      </c>
      <c r="I460" s="12" t="s">
        <v>48</v>
      </c>
      <c r="J460" s="12" t="s">
        <v>483</v>
      </c>
      <c r="K460" s="12" t="s">
        <v>305</v>
      </c>
    </row>
    <row r="461" ht="15.75" customHeight="1">
      <c r="A461" s="86" t="s">
        <v>226</v>
      </c>
      <c r="B461" s="86" t="s">
        <v>419</v>
      </c>
      <c r="C461" s="12" t="s">
        <v>484</v>
      </c>
      <c r="D461" s="12" t="s">
        <v>485</v>
      </c>
      <c r="E461" s="12" t="s">
        <v>108</v>
      </c>
      <c r="F461" s="12" t="s">
        <v>58</v>
      </c>
      <c r="G461" s="15" t="s">
        <v>38</v>
      </c>
      <c r="H461" s="12" t="s">
        <v>376</v>
      </c>
      <c r="I461" s="12" t="s">
        <v>48</v>
      </c>
      <c r="J461" s="12" t="s">
        <v>486</v>
      </c>
      <c r="K461" s="12" t="s">
        <v>305</v>
      </c>
    </row>
    <row r="462" ht="15.75" customHeight="1">
      <c r="A462" s="86" t="s">
        <v>226</v>
      </c>
      <c r="B462" s="86" t="s">
        <v>419</v>
      </c>
      <c r="C462" s="12" t="s">
        <v>378</v>
      </c>
      <c r="D462" s="12" t="s">
        <v>379</v>
      </c>
      <c r="E462" s="12" t="s">
        <v>205</v>
      </c>
      <c r="F462" s="12" t="s">
        <v>58</v>
      </c>
      <c r="G462" s="15" t="s">
        <v>38</v>
      </c>
      <c r="H462" s="12" t="s">
        <v>138</v>
      </c>
      <c r="I462" s="12" t="s">
        <v>48</v>
      </c>
      <c r="J462" s="12" t="s">
        <v>380</v>
      </c>
      <c r="K462" s="12" t="s">
        <v>305</v>
      </c>
    </row>
    <row r="463" ht="15.75" customHeight="1">
      <c r="A463" s="86" t="s">
        <v>226</v>
      </c>
      <c r="B463" s="86" t="s">
        <v>419</v>
      </c>
      <c r="C463" s="12" t="s">
        <v>545</v>
      </c>
      <c r="D463" s="12" t="s">
        <v>546</v>
      </c>
      <c r="E463" s="12" t="s">
        <v>156</v>
      </c>
      <c r="F463" s="12" t="s">
        <v>37</v>
      </c>
      <c r="G463" s="15" t="s">
        <v>38</v>
      </c>
      <c r="H463" s="12" t="s">
        <v>335</v>
      </c>
      <c r="I463" s="12" t="s">
        <v>48</v>
      </c>
      <c r="J463" s="12" t="s">
        <v>547</v>
      </c>
      <c r="K463" s="12" t="s">
        <v>305</v>
      </c>
    </row>
    <row r="464" ht="15.75" customHeight="1">
      <c r="A464" s="86" t="s">
        <v>226</v>
      </c>
      <c r="B464" s="86" t="s">
        <v>419</v>
      </c>
      <c r="C464" s="12" t="s">
        <v>381</v>
      </c>
      <c r="D464" s="12" t="s">
        <v>382</v>
      </c>
      <c r="E464" s="12" t="s">
        <v>57</v>
      </c>
      <c r="F464" s="12" t="s">
        <v>58</v>
      </c>
      <c r="G464" s="15" t="s">
        <v>38</v>
      </c>
      <c r="H464" s="12" t="s">
        <v>47</v>
      </c>
      <c r="I464" s="12" t="s">
        <v>48</v>
      </c>
      <c r="J464" s="12" t="s">
        <v>383</v>
      </c>
      <c r="K464" s="12" t="s">
        <v>305</v>
      </c>
    </row>
    <row r="465" ht="15.75" customHeight="1">
      <c r="A465" s="86" t="s">
        <v>226</v>
      </c>
      <c r="B465" s="86" t="s">
        <v>419</v>
      </c>
      <c r="C465" s="12" t="s">
        <v>149</v>
      </c>
      <c r="D465" s="12" t="s">
        <v>150</v>
      </c>
      <c r="E465" s="12" t="s">
        <v>137</v>
      </c>
      <c r="F465" s="12" t="s">
        <v>37</v>
      </c>
      <c r="G465" s="15" t="s">
        <v>38</v>
      </c>
      <c r="H465" s="12" t="s">
        <v>138</v>
      </c>
      <c r="I465" s="12" t="s">
        <v>48</v>
      </c>
      <c r="J465" s="12" t="s">
        <v>153</v>
      </c>
      <c r="K465" s="12" t="s">
        <v>305</v>
      </c>
    </row>
    <row r="466" ht="15.75" customHeight="1">
      <c r="A466" s="86" t="s">
        <v>226</v>
      </c>
      <c r="B466" s="86" t="s">
        <v>419</v>
      </c>
      <c r="C466" s="12" t="s">
        <v>553</v>
      </c>
      <c r="D466" s="12" t="s">
        <v>554</v>
      </c>
      <c r="E466" s="12" t="s">
        <v>396</v>
      </c>
      <c r="F466" s="12" t="s">
        <v>37</v>
      </c>
      <c r="G466" s="15" t="s">
        <v>38</v>
      </c>
      <c r="H466" s="12" t="s">
        <v>335</v>
      </c>
      <c r="I466" s="12" t="s">
        <v>48</v>
      </c>
      <c r="J466" s="12" t="s">
        <v>555</v>
      </c>
      <c r="K466" s="12" t="s">
        <v>305</v>
      </c>
    </row>
    <row r="467" ht="15.75" customHeight="1">
      <c r="A467" s="86" t="s">
        <v>226</v>
      </c>
      <c r="B467" s="86" t="s">
        <v>419</v>
      </c>
      <c r="C467" s="12" t="s">
        <v>33</v>
      </c>
      <c r="D467" s="12" t="s">
        <v>341</v>
      </c>
      <c r="E467" s="12" t="s">
        <v>219</v>
      </c>
      <c r="F467" s="12" t="s">
        <v>37</v>
      </c>
      <c r="G467" s="12" t="s">
        <v>40</v>
      </c>
      <c r="H467" s="12" t="s">
        <v>47</v>
      </c>
      <c r="I467" s="12" t="s">
        <v>48</v>
      </c>
      <c r="J467" s="12" t="s">
        <v>41</v>
      </c>
      <c r="K467" s="12" t="s">
        <v>310</v>
      </c>
    </row>
    <row r="468" ht="15.75" customHeight="1">
      <c r="A468" s="86" t="s">
        <v>226</v>
      </c>
      <c r="B468" s="86" t="s">
        <v>419</v>
      </c>
      <c r="C468" s="12" t="s">
        <v>33</v>
      </c>
      <c r="D468" s="12" t="s">
        <v>117</v>
      </c>
      <c r="E468" s="12" t="s">
        <v>53</v>
      </c>
      <c r="F468" s="12" t="s">
        <v>37</v>
      </c>
      <c r="G468" s="12" t="s">
        <v>40</v>
      </c>
      <c r="H468" s="12" t="s">
        <v>118</v>
      </c>
      <c r="I468" s="12" t="s">
        <v>40</v>
      </c>
      <c r="J468" s="12" t="s">
        <v>41</v>
      </c>
      <c r="K468" s="12" t="s">
        <v>310</v>
      </c>
    </row>
    <row r="469" ht="15.75" customHeight="1">
      <c r="A469" s="86" t="s">
        <v>226</v>
      </c>
      <c r="B469" s="86" t="s">
        <v>419</v>
      </c>
      <c r="C469" s="12" t="s">
        <v>135</v>
      </c>
      <c r="D469" s="12" t="s">
        <v>136</v>
      </c>
      <c r="E469" s="12" t="s">
        <v>137</v>
      </c>
      <c r="F469" s="12" t="s">
        <v>37</v>
      </c>
      <c r="G469" s="12" t="s">
        <v>40</v>
      </c>
      <c r="H469" s="12" t="s">
        <v>138</v>
      </c>
      <c r="I469" s="12" t="s">
        <v>48</v>
      </c>
      <c r="J469" s="12" t="s">
        <v>139</v>
      </c>
      <c r="K469" s="12" t="s">
        <v>310</v>
      </c>
    </row>
    <row r="470" ht="15.75" customHeight="1">
      <c r="A470" s="86" t="s">
        <v>226</v>
      </c>
      <c r="B470" s="86" t="s">
        <v>419</v>
      </c>
      <c r="C470" s="12" t="s">
        <v>525</v>
      </c>
      <c r="D470" s="12" t="s">
        <v>526</v>
      </c>
      <c r="E470" s="12" t="s">
        <v>396</v>
      </c>
      <c r="F470" s="12" t="s">
        <v>37</v>
      </c>
      <c r="G470" s="12" t="s">
        <v>40</v>
      </c>
      <c r="H470" s="12" t="s">
        <v>527</v>
      </c>
      <c r="I470" s="12" t="s">
        <v>48</v>
      </c>
      <c r="J470" s="12" t="s">
        <v>528</v>
      </c>
      <c r="K470" s="12" t="s">
        <v>310</v>
      </c>
    </row>
    <row r="471" ht="15.75" customHeight="1">
      <c r="A471" s="86" t="s">
        <v>226</v>
      </c>
      <c r="B471" s="86" t="s">
        <v>419</v>
      </c>
      <c r="C471" s="12" t="s">
        <v>384</v>
      </c>
      <c r="D471" s="12" t="s">
        <v>385</v>
      </c>
      <c r="E471" s="12" t="s">
        <v>137</v>
      </c>
      <c r="F471" s="12" t="s">
        <v>37</v>
      </c>
      <c r="G471" s="12" t="s">
        <v>40</v>
      </c>
      <c r="H471" s="12" t="s">
        <v>386</v>
      </c>
      <c r="I471" s="12" t="s">
        <v>48</v>
      </c>
      <c r="J471" s="12" t="s">
        <v>387</v>
      </c>
      <c r="K471" s="12" t="s">
        <v>310</v>
      </c>
    </row>
    <row r="472" ht="15.75" customHeight="1">
      <c r="A472" s="86" t="s">
        <v>226</v>
      </c>
      <c r="B472" s="86" t="s">
        <v>419</v>
      </c>
      <c r="C472" s="12" t="s">
        <v>451</v>
      </c>
      <c r="D472" s="12" t="s">
        <v>452</v>
      </c>
      <c r="E472" s="12" t="s">
        <v>108</v>
      </c>
      <c r="F472" s="12" t="s">
        <v>58</v>
      </c>
      <c r="G472" s="12" t="s">
        <v>40</v>
      </c>
      <c r="H472" s="12" t="s">
        <v>138</v>
      </c>
      <c r="I472" s="12" t="s">
        <v>48</v>
      </c>
      <c r="J472" s="12" t="s">
        <v>453</v>
      </c>
      <c r="K472" s="12" t="s">
        <v>310</v>
      </c>
    </row>
    <row r="473" ht="15.75" customHeight="1">
      <c r="A473" s="86" t="s">
        <v>226</v>
      </c>
      <c r="B473" s="86" t="s">
        <v>420</v>
      </c>
      <c r="C473" s="12" t="s">
        <v>33</v>
      </c>
      <c r="D473" s="12" t="s">
        <v>318</v>
      </c>
      <c r="E473" s="12" t="s">
        <v>53</v>
      </c>
      <c r="F473" s="12" t="s">
        <v>37</v>
      </c>
      <c r="G473" s="15" t="s">
        <v>38</v>
      </c>
      <c r="H473" s="12" t="s">
        <v>319</v>
      </c>
      <c r="I473" s="12" t="s">
        <v>48</v>
      </c>
      <c r="J473" s="12" t="s">
        <v>41</v>
      </c>
      <c r="K473" s="12" t="s">
        <v>561</v>
      </c>
    </row>
    <row r="474" ht="15.75" customHeight="1">
      <c r="A474" s="86" t="s">
        <v>226</v>
      </c>
      <c r="B474" s="86" t="s">
        <v>420</v>
      </c>
      <c r="C474" s="12" t="s">
        <v>33</v>
      </c>
      <c r="D474" s="12" t="s">
        <v>315</v>
      </c>
      <c r="E474" s="12" t="s">
        <v>45</v>
      </c>
      <c r="F474" s="12" t="s">
        <v>37</v>
      </c>
      <c r="G474" s="12" t="s">
        <v>40</v>
      </c>
      <c r="H474" s="12" t="s">
        <v>316</v>
      </c>
      <c r="I474" s="12" t="s">
        <v>48</v>
      </c>
      <c r="J474" s="12" t="s">
        <v>41</v>
      </c>
      <c r="K474" s="12" t="s">
        <v>561</v>
      </c>
    </row>
    <row r="475" ht="15.75" customHeight="1">
      <c r="A475" s="86" t="s">
        <v>226</v>
      </c>
      <c r="B475" s="86" t="s">
        <v>420</v>
      </c>
      <c r="C475" s="12" t="s">
        <v>33</v>
      </c>
      <c r="D475" s="12" t="s">
        <v>510</v>
      </c>
      <c r="E475" s="12" t="s">
        <v>45</v>
      </c>
      <c r="F475" s="12" t="s">
        <v>37</v>
      </c>
      <c r="G475" s="12" t="s">
        <v>40</v>
      </c>
      <c r="H475" s="12" t="s">
        <v>511</v>
      </c>
      <c r="I475" s="12" t="s">
        <v>48</v>
      </c>
      <c r="J475" s="12" t="s">
        <v>41</v>
      </c>
      <c r="K475" s="12" t="s">
        <v>561</v>
      </c>
    </row>
    <row r="476" ht="15.75" customHeight="1">
      <c r="A476" s="86" t="s">
        <v>226</v>
      </c>
      <c r="B476" s="86" t="s">
        <v>420</v>
      </c>
      <c r="C476" s="12" t="s">
        <v>33</v>
      </c>
      <c r="D476" s="12" t="s">
        <v>52</v>
      </c>
      <c r="E476" s="12" t="s">
        <v>53</v>
      </c>
      <c r="F476" s="12" t="s">
        <v>37</v>
      </c>
      <c r="G476" s="12" t="s">
        <v>40</v>
      </c>
      <c r="H476" s="12" t="s">
        <v>54</v>
      </c>
      <c r="I476" s="12" t="s">
        <v>48</v>
      </c>
      <c r="J476" s="12" t="s">
        <v>41</v>
      </c>
      <c r="K476" s="12" t="s">
        <v>561</v>
      </c>
    </row>
    <row r="477" ht="15.75" customHeight="1">
      <c r="A477" s="86" t="s">
        <v>226</v>
      </c>
      <c r="B477" s="86" t="s">
        <v>420</v>
      </c>
      <c r="C477" s="12" t="s">
        <v>323</v>
      </c>
      <c r="D477" s="12" t="s">
        <v>324</v>
      </c>
      <c r="E477" s="12" t="s">
        <v>137</v>
      </c>
      <c r="F477" s="12" t="s">
        <v>37</v>
      </c>
      <c r="G477" s="12" t="s">
        <v>40</v>
      </c>
      <c r="H477" s="12" t="s">
        <v>325</v>
      </c>
      <c r="I477" s="12" t="s">
        <v>48</v>
      </c>
      <c r="J477" s="12" t="s">
        <v>327</v>
      </c>
      <c r="K477" s="12" t="s">
        <v>561</v>
      </c>
    </row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77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24.0"/>
    <col customWidth="1" min="4" max="4" width="50.0"/>
    <col customWidth="1" min="5" max="5" width="14.0"/>
    <col customWidth="1" min="6" max="6" width="16.0"/>
    <col customWidth="1" min="7" max="7" width="13.0"/>
  </cols>
  <sheetData>
    <row r="1" ht="30.0" customHeight="1">
      <c r="A1" s="8" t="s">
        <v>22</v>
      </c>
      <c r="B1" s="8" t="s">
        <v>24</v>
      </c>
      <c r="C1" s="8" t="s">
        <v>25</v>
      </c>
      <c r="D1" s="8" t="s">
        <v>493</v>
      </c>
      <c r="E1" s="8" t="s">
        <v>29</v>
      </c>
      <c r="F1" s="8" t="s">
        <v>494</v>
      </c>
      <c r="G1" s="8" t="s">
        <v>495</v>
      </c>
    </row>
    <row r="2" ht="14.25" customHeight="1">
      <c r="A2" s="12" t="s">
        <v>33</v>
      </c>
      <c r="B2" s="12" t="s">
        <v>35</v>
      </c>
      <c r="C2" s="12" t="s">
        <v>36</v>
      </c>
      <c r="D2" s="12" t="s">
        <v>39</v>
      </c>
      <c r="E2" s="91" t="s">
        <v>40</v>
      </c>
      <c r="F2" s="91">
        <f>COUNTIF('Detalle por mesa'!$D:$D,B2)</f>
        <v>26</v>
      </c>
      <c r="G2" s="91" t="str">
        <f t="shared" ref="G2:G110" si="1">IF(F2=0,"Sin mesa","Cubierto")</f>
        <v>Cubierto</v>
      </c>
    </row>
    <row r="3" ht="14.25" customHeight="1">
      <c r="A3" s="12" t="s">
        <v>33</v>
      </c>
      <c r="B3" s="12" t="s">
        <v>213</v>
      </c>
      <c r="C3" s="12" t="s">
        <v>45</v>
      </c>
      <c r="D3" s="12" t="s">
        <v>214</v>
      </c>
      <c r="E3" s="91" t="s">
        <v>48</v>
      </c>
      <c r="F3" s="91">
        <f>COUNTIF('Detalle por mesa'!$D:$D,B3)</f>
        <v>13</v>
      </c>
      <c r="G3" s="91" t="str">
        <f t="shared" si="1"/>
        <v>Cubierto</v>
      </c>
    </row>
    <row r="4" ht="14.25" customHeight="1">
      <c r="A4" s="12" t="s">
        <v>33</v>
      </c>
      <c r="B4" s="12" t="s">
        <v>456</v>
      </c>
      <c r="C4" s="12" t="s">
        <v>45</v>
      </c>
      <c r="D4" s="12" t="s">
        <v>457</v>
      </c>
      <c r="E4" s="91" t="s">
        <v>48</v>
      </c>
      <c r="F4" s="91">
        <f>COUNTIF('Detalle por mesa'!$D:$D,B4)</f>
        <v>3</v>
      </c>
      <c r="G4" s="91" t="str">
        <f t="shared" si="1"/>
        <v>Cubierto</v>
      </c>
    </row>
    <row r="5" ht="14.25" customHeight="1">
      <c r="A5" s="12" t="s">
        <v>33</v>
      </c>
      <c r="B5" s="12" t="s">
        <v>478</v>
      </c>
      <c r="C5" s="12" t="s">
        <v>219</v>
      </c>
      <c r="D5" s="12" t="s">
        <v>479</v>
      </c>
      <c r="E5" s="91" t="s">
        <v>38</v>
      </c>
      <c r="F5" s="91">
        <f>COUNTIF('Detalle por mesa'!$D:$D,B5)</f>
        <v>2</v>
      </c>
      <c r="G5" s="91" t="str">
        <f t="shared" si="1"/>
        <v>Cubierto</v>
      </c>
    </row>
    <row r="6" ht="14.25" customHeight="1">
      <c r="A6" s="12" t="s">
        <v>33</v>
      </c>
      <c r="B6" s="12" t="s">
        <v>315</v>
      </c>
      <c r="C6" s="12" t="s">
        <v>45</v>
      </c>
      <c r="D6" s="12" t="s">
        <v>316</v>
      </c>
      <c r="E6" s="91" t="s">
        <v>48</v>
      </c>
      <c r="F6" s="91">
        <f>COUNTIF('Detalle por mesa'!$D:$D,B6)</f>
        <v>6</v>
      </c>
      <c r="G6" s="91" t="str">
        <f t="shared" si="1"/>
        <v>Cubierto</v>
      </c>
    </row>
    <row r="7" ht="14.25" customHeight="1">
      <c r="A7" s="12" t="s">
        <v>33</v>
      </c>
      <c r="B7" s="12" t="s">
        <v>165</v>
      </c>
      <c r="C7" s="12" t="s">
        <v>45</v>
      </c>
      <c r="D7" s="12" t="s">
        <v>64</v>
      </c>
      <c r="E7" s="91" t="s">
        <v>48</v>
      </c>
      <c r="F7" s="91">
        <f>COUNTIF('Detalle por mesa'!$D:$D,B7)</f>
        <v>5</v>
      </c>
      <c r="G7" s="91" t="str">
        <f t="shared" si="1"/>
        <v>Cubierto</v>
      </c>
    </row>
    <row r="8" ht="14.25" customHeight="1">
      <c r="A8" s="12" t="s">
        <v>33</v>
      </c>
      <c r="B8" s="12" t="s">
        <v>464</v>
      </c>
      <c r="C8" s="12" t="s">
        <v>45</v>
      </c>
      <c r="D8" s="12" t="s">
        <v>264</v>
      </c>
      <c r="E8" s="91" t="s">
        <v>40</v>
      </c>
      <c r="F8" s="91">
        <f>COUNTIF('Detalle por mesa'!$D:$D,B8)</f>
        <v>2</v>
      </c>
      <c r="G8" s="91" t="str">
        <f t="shared" si="1"/>
        <v>Cubierto</v>
      </c>
    </row>
    <row r="9" ht="14.25" customHeight="1">
      <c r="A9" s="12" t="s">
        <v>33</v>
      </c>
      <c r="B9" s="12" t="s">
        <v>216</v>
      </c>
      <c r="C9" s="12" t="s">
        <v>45</v>
      </c>
      <c r="D9" s="12" t="s">
        <v>214</v>
      </c>
      <c r="E9" s="91" t="s">
        <v>48</v>
      </c>
      <c r="F9" s="91">
        <f>COUNTIF('Detalle por mesa'!$D:$D,B9)</f>
        <v>13</v>
      </c>
      <c r="G9" s="91" t="str">
        <f t="shared" si="1"/>
        <v>Cubierto</v>
      </c>
    </row>
    <row r="10" ht="14.25" customHeight="1">
      <c r="A10" s="12" t="s">
        <v>33</v>
      </c>
      <c r="B10" s="12" t="s">
        <v>352</v>
      </c>
      <c r="C10" s="12" t="s">
        <v>45</v>
      </c>
      <c r="D10" s="12" t="s">
        <v>128</v>
      </c>
      <c r="E10" s="91" t="s">
        <v>48</v>
      </c>
      <c r="F10" s="91">
        <f>COUNTIF('Detalle por mesa'!$D:$D,B10)</f>
        <v>4</v>
      </c>
      <c r="G10" s="91" t="str">
        <f t="shared" si="1"/>
        <v>Cubierto</v>
      </c>
    </row>
    <row r="11" ht="14.25" customHeight="1">
      <c r="A11" s="12" t="s">
        <v>33</v>
      </c>
      <c r="B11" s="12" t="s">
        <v>341</v>
      </c>
      <c r="C11" s="12" t="s">
        <v>219</v>
      </c>
      <c r="D11" s="12" t="s">
        <v>47</v>
      </c>
      <c r="E11" s="91" t="s">
        <v>48</v>
      </c>
      <c r="F11" s="91">
        <f>COUNTIF('Detalle por mesa'!$D:$D,B11)</f>
        <v>3</v>
      </c>
      <c r="G11" s="91" t="str">
        <f t="shared" si="1"/>
        <v>Cubierto</v>
      </c>
    </row>
    <row r="12" ht="14.25" customHeight="1">
      <c r="A12" s="12" t="s">
        <v>33</v>
      </c>
      <c r="B12" s="12" t="s">
        <v>112</v>
      </c>
      <c r="C12" s="12" t="s">
        <v>113</v>
      </c>
      <c r="D12" s="12" t="s">
        <v>114</v>
      </c>
      <c r="E12" s="91" t="s">
        <v>48</v>
      </c>
      <c r="F12" s="91">
        <f>COUNTIF('Detalle por mesa'!$D:$D,B12)</f>
        <v>5</v>
      </c>
      <c r="G12" s="91" t="str">
        <f t="shared" si="1"/>
        <v>Cubierto</v>
      </c>
    </row>
    <row r="13" ht="14.25" customHeight="1">
      <c r="A13" s="12" t="s">
        <v>33</v>
      </c>
      <c r="B13" s="12" t="s">
        <v>353</v>
      </c>
      <c r="C13" s="12" t="s">
        <v>197</v>
      </c>
      <c r="D13" s="12" t="s">
        <v>128</v>
      </c>
      <c r="E13" s="91" t="s">
        <v>48</v>
      </c>
      <c r="F13" s="91">
        <f>COUNTIF('Detalle por mesa'!$D:$D,B13)</f>
        <v>4</v>
      </c>
      <c r="G13" s="91" t="str">
        <f t="shared" si="1"/>
        <v>Cubierto</v>
      </c>
    </row>
    <row r="14" ht="14.25" customHeight="1">
      <c r="A14" s="12" t="s">
        <v>33</v>
      </c>
      <c r="B14" s="12" t="s">
        <v>44</v>
      </c>
      <c r="C14" s="12" t="s">
        <v>45</v>
      </c>
      <c r="D14" s="12" t="s">
        <v>47</v>
      </c>
      <c r="E14" s="91" t="s">
        <v>48</v>
      </c>
      <c r="F14" s="91">
        <f>COUNTIF('Detalle por mesa'!$D:$D,B14)</f>
        <v>16</v>
      </c>
      <c r="G14" s="91" t="str">
        <f t="shared" si="1"/>
        <v>Cubierto</v>
      </c>
    </row>
    <row r="15" ht="14.25" customHeight="1">
      <c r="A15" s="12" t="s">
        <v>33</v>
      </c>
      <c r="B15" s="12" t="s">
        <v>303</v>
      </c>
      <c r="C15" s="12" t="s">
        <v>45</v>
      </c>
      <c r="D15" s="12" t="s">
        <v>304</v>
      </c>
      <c r="E15" s="91" t="s">
        <v>48</v>
      </c>
      <c r="F15" s="91">
        <f>COUNTIF('Detalle por mesa'!$D:$D,B15)</f>
        <v>5</v>
      </c>
      <c r="G15" s="91" t="str">
        <f t="shared" si="1"/>
        <v>Cubierto</v>
      </c>
    </row>
    <row r="16" ht="14.25" customHeight="1">
      <c r="A16" s="12" t="s">
        <v>33</v>
      </c>
      <c r="B16" s="12" t="s">
        <v>49</v>
      </c>
      <c r="C16" s="12" t="s">
        <v>45</v>
      </c>
      <c r="D16" s="12" t="s">
        <v>50</v>
      </c>
      <c r="E16" s="91" t="s">
        <v>48</v>
      </c>
      <c r="F16" s="91">
        <f>COUNTIF('Detalle por mesa'!$D:$D,B16)</f>
        <v>4</v>
      </c>
      <c r="G16" s="91" t="str">
        <f t="shared" si="1"/>
        <v>Cubierto</v>
      </c>
    </row>
    <row r="17" ht="14.25" customHeight="1">
      <c r="A17" s="12" t="s">
        <v>33</v>
      </c>
      <c r="B17" s="12" t="s">
        <v>218</v>
      </c>
      <c r="C17" s="12" t="s">
        <v>219</v>
      </c>
      <c r="D17" s="12" t="s">
        <v>229</v>
      </c>
      <c r="E17" s="91" t="s">
        <v>38</v>
      </c>
      <c r="F17" s="91">
        <f>COUNTIF('Detalle por mesa'!$D:$D,B17)</f>
        <v>13</v>
      </c>
      <c r="G17" s="91" t="str">
        <f t="shared" si="1"/>
        <v>Cubierto</v>
      </c>
    </row>
    <row r="18" ht="14.25" customHeight="1">
      <c r="A18" s="12" t="s">
        <v>33</v>
      </c>
      <c r="B18" s="12" t="s">
        <v>510</v>
      </c>
      <c r="C18" s="12" t="s">
        <v>45</v>
      </c>
      <c r="D18" s="12" t="s">
        <v>511</v>
      </c>
      <c r="E18" s="91" t="s">
        <v>48</v>
      </c>
      <c r="F18" s="91">
        <f>COUNTIF('Detalle por mesa'!$D:$D,B18)</f>
        <v>2</v>
      </c>
      <c r="G18" s="91" t="str">
        <f t="shared" si="1"/>
        <v>Cubierto</v>
      </c>
    </row>
    <row r="19" ht="14.25" customHeight="1">
      <c r="A19" s="12" t="s">
        <v>33</v>
      </c>
      <c r="B19" s="12" t="s">
        <v>458</v>
      </c>
      <c r="C19" s="12" t="s">
        <v>53</v>
      </c>
      <c r="D19" s="12" t="s">
        <v>335</v>
      </c>
      <c r="E19" s="91" t="s">
        <v>48</v>
      </c>
      <c r="F19" s="91">
        <f>COUNTIF('Detalle por mesa'!$D:$D,B19)</f>
        <v>2</v>
      </c>
      <c r="G19" s="91" t="str">
        <f t="shared" si="1"/>
        <v>Cubierto</v>
      </c>
    </row>
    <row r="20" ht="14.25" customHeight="1">
      <c r="A20" s="12" t="s">
        <v>33</v>
      </c>
      <c r="B20" s="12" t="s">
        <v>318</v>
      </c>
      <c r="C20" s="12" t="s">
        <v>53</v>
      </c>
      <c r="D20" s="12" t="s">
        <v>319</v>
      </c>
      <c r="E20" s="91" t="s">
        <v>48</v>
      </c>
      <c r="F20" s="91">
        <f>COUNTIF('Detalle por mesa'!$D:$D,B20)</f>
        <v>3</v>
      </c>
      <c r="G20" s="91" t="str">
        <f t="shared" si="1"/>
        <v>Cubierto</v>
      </c>
    </row>
    <row r="21" ht="15.75" customHeight="1">
      <c r="A21" s="12" t="s">
        <v>33</v>
      </c>
      <c r="B21" s="12" t="s">
        <v>459</v>
      </c>
      <c r="C21" s="12" t="s">
        <v>53</v>
      </c>
      <c r="D21" s="12" t="s">
        <v>460</v>
      </c>
      <c r="E21" s="91" t="s">
        <v>48</v>
      </c>
      <c r="F21" s="91">
        <f>COUNTIF('Detalle por mesa'!$D:$D,B21)</f>
        <v>3</v>
      </c>
      <c r="G21" s="91" t="str">
        <f t="shared" si="1"/>
        <v>Cubierto</v>
      </c>
    </row>
    <row r="22" ht="15.75" customHeight="1">
      <c r="A22" s="12" t="s">
        <v>33</v>
      </c>
      <c r="B22" s="12" t="s">
        <v>230</v>
      </c>
      <c r="C22" s="12" t="s">
        <v>53</v>
      </c>
      <c r="D22" s="12" t="s">
        <v>231</v>
      </c>
      <c r="E22" s="91" t="s">
        <v>48</v>
      </c>
      <c r="F22" s="91">
        <f>COUNTIF('Detalle por mesa'!$D:$D,B22)</f>
        <v>14</v>
      </c>
      <c r="G22" s="91" t="str">
        <f t="shared" si="1"/>
        <v>Cubierto</v>
      </c>
    </row>
    <row r="23" ht="15.75" customHeight="1">
      <c r="A23" s="12" t="s">
        <v>33</v>
      </c>
      <c r="B23" s="12" t="s">
        <v>117</v>
      </c>
      <c r="C23" s="12" t="s">
        <v>53</v>
      </c>
      <c r="D23" s="12" t="s">
        <v>118</v>
      </c>
      <c r="E23" s="91" t="s">
        <v>40</v>
      </c>
      <c r="F23" s="91">
        <f>COUNTIF('Detalle por mesa'!$D:$D,B23)</f>
        <v>11</v>
      </c>
      <c r="G23" s="91" t="str">
        <f t="shared" si="1"/>
        <v>Cubierto</v>
      </c>
    </row>
    <row r="24" ht="15.75" customHeight="1">
      <c r="A24" s="12" t="s">
        <v>33</v>
      </c>
      <c r="B24" s="12" t="s">
        <v>52</v>
      </c>
      <c r="C24" s="12" t="s">
        <v>53</v>
      </c>
      <c r="D24" s="12" t="s">
        <v>54</v>
      </c>
      <c r="E24" s="91" t="s">
        <v>48</v>
      </c>
      <c r="F24" s="91">
        <f>COUNTIF('Detalle por mesa'!$D:$D,B24)</f>
        <v>27</v>
      </c>
      <c r="G24" s="91" t="str">
        <f t="shared" si="1"/>
        <v>Cubierto</v>
      </c>
    </row>
    <row r="25" ht="15.75" customHeight="1">
      <c r="A25" s="12" t="s">
        <v>33</v>
      </c>
      <c r="B25" s="12" t="s">
        <v>489</v>
      </c>
      <c r="C25" s="12" t="s">
        <v>53</v>
      </c>
      <c r="D25" s="12" t="s">
        <v>335</v>
      </c>
      <c r="E25" s="91" t="s">
        <v>48</v>
      </c>
      <c r="F25" s="91">
        <f>COUNTIF('Detalle por mesa'!$D:$D,B25)</f>
        <v>2</v>
      </c>
      <c r="G25" s="91" t="str">
        <f t="shared" si="1"/>
        <v>Cubierto</v>
      </c>
    </row>
    <row r="26" ht="15.75" customHeight="1">
      <c r="A26" s="12" t="s">
        <v>33</v>
      </c>
      <c r="B26" s="12" t="s">
        <v>162</v>
      </c>
      <c r="C26" s="12" t="s">
        <v>53</v>
      </c>
      <c r="D26" s="12" t="s">
        <v>121</v>
      </c>
      <c r="E26" s="91" t="s">
        <v>48</v>
      </c>
      <c r="F26" s="91">
        <f>COUNTIF('Detalle por mesa'!$D:$D,B26)</f>
        <v>4</v>
      </c>
      <c r="G26" s="91" t="str">
        <f t="shared" si="1"/>
        <v>Cubierto</v>
      </c>
    </row>
    <row r="27" ht="15.75" customHeight="1">
      <c r="A27" s="12" t="s">
        <v>33</v>
      </c>
      <c r="B27" s="12" t="s">
        <v>196</v>
      </c>
      <c r="C27" s="12" t="s">
        <v>197</v>
      </c>
      <c r="D27" s="12" t="s">
        <v>128</v>
      </c>
      <c r="E27" s="91" t="s">
        <v>48</v>
      </c>
      <c r="F27" s="91">
        <f>COUNTIF('Detalle por mesa'!$D:$D,B27)</f>
        <v>3</v>
      </c>
      <c r="G27" s="91" t="str">
        <f t="shared" si="1"/>
        <v>Cubierto</v>
      </c>
    </row>
    <row r="28" ht="15.75" customHeight="1">
      <c r="A28" s="12" t="s">
        <v>451</v>
      </c>
      <c r="B28" s="12" t="s">
        <v>452</v>
      </c>
      <c r="C28" s="12" t="s">
        <v>108</v>
      </c>
      <c r="D28" s="12" t="s">
        <v>138</v>
      </c>
      <c r="E28" s="91" t="s">
        <v>48</v>
      </c>
      <c r="F28" s="91">
        <f>COUNTIF('Detalle por mesa'!$D:$D,B28)</f>
        <v>3</v>
      </c>
      <c r="G28" s="91" t="str">
        <f t="shared" si="1"/>
        <v>Cubierto</v>
      </c>
    </row>
    <row r="29" ht="15.75" customHeight="1">
      <c r="A29" s="12" t="s">
        <v>430</v>
      </c>
      <c r="B29" s="12" t="s">
        <v>431</v>
      </c>
      <c r="C29" s="12" t="s">
        <v>108</v>
      </c>
      <c r="D29" s="12" t="s">
        <v>128</v>
      </c>
      <c r="E29" s="91" t="s">
        <v>48</v>
      </c>
      <c r="F29" s="91">
        <f>COUNTIF('Detalle por mesa'!$D:$D,B29)</f>
        <v>2</v>
      </c>
      <c r="G29" s="91" t="str">
        <f t="shared" si="1"/>
        <v>Cubierto</v>
      </c>
    </row>
    <row r="30" ht="15.75" customHeight="1">
      <c r="A30" s="12" t="s">
        <v>435</v>
      </c>
      <c r="B30" s="12" t="s">
        <v>436</v>
      </c>
      <c r="C30" s="12" t="s">
        <v>108</v>
      </c>
      <c r="D30" s="12" t="s">
        <v>72</v>
      </c>
      <c r="E30" s="91" t="s">
        <v>48</v>
      </c>
      <c r="F30" s="91">
        <f>COUNTIF('Detalle por mesa'!$D:$D,B30)</f>
        <v>1</v>
      </c>
      <c r="G30" s="91" t="str">
        <f t="shared" si="1"/>
        <v>Cubierto</v>
      </c>
    </row>
    <row r="31" ht="15.75" customHeight="1">
      <c r="A31" s="12" t="s">
        <v>131</v>
      </c>
      <c r="B31" s="12" t="s">
        <v>132</v>
      </c>
      <c r="C31" s="12" t="s">
        <v>108</v>
      </c>
      <c r="D31" s="12" t="s">
        <v>133</v>
      </c>
      <c r="E31" s="91" t="s">
        <v>48</v>
      </c>
      <c r="F31" s="91">
        <f>COUNTIF('Detalle por mesa'!$D:$D,B31)</f>
        <v>5</v>
      </c>
      <c r="G31" s="91" t="str">
        <f t="shared" si="1"/>
        <v>Cubierto</v>
      </c>
    </row>
    <row r="32" ht="15.75" customHeight="1">
      <c r="A32" s="12" t="s">
        <v>484</v>
      </c>
      <c r="B32" s="12" t="s">
        <v>485</v>
      </c>
      <c r="C32" s="12" t="s">
        <v>108</v>
      </c>
      <c r="D32" s="12" t="s">
        <v>376</v>
      </c>
      <c r="E32" s="91" t="s">
        <v>48</v>
      </c>
      <c r="F32" s="91">
        <f>COUNTIF('Detalle por mesa'!$D:$D,B32)</f>
        <v>3</v>
      </c>
      <c r="G32" s="91" t="str">
        <f t="shared" si="1"/>
        <v>Cubierto</v>
      </c>
    </row>
    <row r="33" ht="15.75" customHeight="1">
      <c r="A33" s="12" t="s">
        <v>449</v>
      </c>
      <c r="B33" s="12" t="s">
        <v>450</v>
      </c>
      <c r="C33" s="12" t="s">
        <v>108</v>
      </c>
      <c r="D33" s="12" t="s">
        <v>190</v>
      </c>
      <c r="E33" s="91" t="s">
        <v>48</v>
      </c>
      <c r="F33" s="91">
        <f>COUNTIF('Detalle por mesa'!$D:$D,B33)</f>
        <v>2</v>
      </c>
      <c r="G33" s="91" t="str">
        <f t="shared" si="1"/>
        <v>Cubierto</v>
      </c>
    </row>
    <row r="34" ht="15.75" customHeight="1">
      <c r="A34" s="12" t="s">
        <v>447</v>
      </c>
      <c r="B34" s="12" t="s">
        <v>448</v>
      </c>
      <c r="C34" s="12" t="s">
        <v>108</v>
      </c>
      <c r="D34" s="12" t="s">
        <v>72</v>
      </c>
      <c r="E34" s="91" t="s">
        <v>48</v>
      </c>
      <c r="F34" s="91">
        <f>COUNTIF('Detalle por mesa'!$D:$D,B34)</f>
        <v>1</v>
      </c>
      <c r="G34" s="91" t="str">
        <f t="shared" si="1"/>
        <v>Cubierto</v>
      </c>
    </row>
    <row r="35" ht="15.75" customHeight="1">
      <c r="A35" s="12" t="s">
        <v>535</v>
      </c>
      <c r="B35" s="12" t="s">
        <v>536</v>
      </c>
      <c r="C35" s="12" t="s">
        <v>108</v>
      </c>
      <c r="D35" s="12" t="s">
        <v>335</v>
      </c>
      <c r="E35" s="91" t="s">
        <v>48</v>
      </c>
      <c r="F35" s="91">
        <f>COUNTIF('Detalle por mesa'!$D:$D,B35)</f>
        <v>1</v>
      </c>
      <c r="G35" s="91" t="str">
        <f t="shared" si="1"/>
        <v>Cubierto</v>
      </c>
    </row>
    <row r="36" ht="15.75" customHeight="1">
      <c r="A36" s="12" t="s">
        <v>425</v>
      </c>
      <c r="B36" s="12" t="s">
        <v>427</v>
      </c>
      <c r="C36" s="12" t="s">
        <v>108</v>
      </c>
      <c r="D36" s="12" t="s">
        <v>428</v>
      </c>
      <c r="E36" s="91" t="s">
        <v>48</v>
      </c>
      <c r="F36" s="91">
        <f>COUNTIF('Detalle por mesa'!$D:$D,B36)</f>
        <v>1</v>
      </c>
      <c r="G36" s="91" t="str">
        <f t="shared" si="1"/>
        <v>Cubierto</v>
      </c>
    </row>
    <row r="37" ht="15.75" customHeight="1">
      <c r="A37" s="12" t="s">
        <v>75</v>
      </c>
      <c r="B37" s="12" t="s">
        <v>76</v>
      </c>
      <c r="C37" s="12" t="s">
        <v>108</v>
      </c>
      <c r="D37" s="12" t="s">
        <v>72</v>
      </c>
      <c r="E37" s="91" t="s">
        <v>48</v>
      </c>
      <c r="F37" s="91">
        <f>COUNTIF('Detalle por mesa'!$D:$D,B37)</f>
        <v>2</v>
      </c>
      <c r="G37" s="91" t="str">
        <f t="shared" si="1"/>
        <v>Cubierto</v>
      </c>
    </row>
    <row r="38" ht="15.75" customHeight="1">
      <c r="A38" s="12" t="s">
        <v>432</v>
      </c>
      <c r="B38" s="12" t="s">
        <v>434</v>
      </c>
      <c r="C38" s="12" t="s">
        <v>108</v>
      </c>
      <c r="D38" s="12" t="s">
        <v>190</v>
      </c>
      <c r="E38" s="91" t="s">
        <v>48</v>
      </c>
      <c r="F38" s="91">
        <f>COUNTIF('Detalle por mesa'!$D:$D,B38)</f>
        <v>2</v>
      </c>
      <c r="G38" s="91" t="str">
        <f t="shared" si="1"/>
        <v>Cubierto</v>
      </c>
    </row>
    <row r="39" ht="15.75" customHeight="1">
      <c r="A39" s="12" t="s">
        <v>445</v>
      </c>
      <c r="B39" s="12" t="s">
        <v>446</v>
      </c>
      <c r="C39" s="12" t="s">
        <v>108</v>
      </c>
      <c r="D39" s="12" t="s">
        <v>72</v>
      </c>
      <c r="E39" s="91" t="s">
        <v>48</v>
      </c>
      <c r="F39" s="91">
        <f>COUNTIF('Detalle por mesa'!$D:$D,B39)</f>
        <v>1</v>
      </c>
      <c r="G39" s="91" t="str">
        <f t="shared" si="1"/>
        <v>Cubierto</v>
      </c>
    </row>
    <row r="40" ht="15.75" customHeight="1">
      <c r="A40" s="12" t="s">
        <v>461</v>
      </c>
      <c r="B40" s="12" t="s">
        <v>462</v>
      </c>
      <c r="C40" s="12" t="s">
        <v>108</v>
      </c>
      <c r="D40" s="12" t="s">
        <v>214</v>
      </c>
      <c r="E40" s="91" t="s">
        <v>48</v>
      </c>
      <c r="F40" s="91">
        <f>COUNTIF('Detalle por mesa'!$D:$D,B40)</f>
        <v>2</v>
      </c>
      <c r="G40" s="91" t="str">
        <f t="shared" si="1"/>
        <v>Cubierto</v>
      </c>
    </row>
    <row r="41" ht="15.75" customHeight="1">
      <c r="A41" s="12" t="s">
        <v>441</v>
      </c>
      <c r="B41" s="12" t="s">
        <v>442</v>
      </c>
      <c r="C41" s="12" t="s">
        <v>108</v>
      </c>
      <c r="D41" s="12" t="s">
        <v>72</v>
      </c>
      <c r="E41" s="91" t="s">
        <v>48</v>
      </c>
      <c r="F41" s="91">
        <f>COUNTIF('Detalle por mesa'!$D:$D,B41)</f>
        <v>1</v>
      </c>
      <c r="G41" s="91" t="str">
        <f t="shared" si="1"/>
        <v>Cubierto</v>
      </c>
    </row>
    <row r="42" ht="15.75" customHeight="1">
      <c r="A42" s="12" t="s">
        <v>443</v>
      </c>
      <c r="B42" s="12" t="s">
        <v>444</v>
      </c>
      <c r="C42" s="12" t="s">
        <v>108</v>
      </c>
      <c r="D42" s="12" t="s">
        <v>72</v>
      </c>
      <c r="E42" s="91" t="s">
        <v>48</v>
      </c>
      <c r="F42" s="91">
        <f>COUNTIF('Detalle por mesa'!$D:$D,B42)</f>
        <v>1</v>
      </c>
      <c r="G42" s="91" t="str">
        <f t="shared" si="1"/>
        <v>Cubierto</v>
      </c>
    </row>
    <row r="43" ht="15.75" customHeight="1">
      <c r="A43" s="12" t="s">
        <v>438</v>
      </c>
      <c r="B43" s="12" t="s">
        <v>439</v>
      </c>
      <c r="C43" s="12" t="s">
        <v>108</v>
      </c>
      <c r="D43" s="12" t="s">
        <v>72</v>
      </c>
      <c r="E43" s="91" t="s">
        <v>48</v>
      </c>
      <c r="F43" s="91">
        <f>COUNTIF('Detalle por mesa'!$D:$D,B43)</f>
        <v>1</v>
      </c>
      <c r="G43" s="91" t="str">
        <f t="shared" si="1"/>
        <v>Cubierto</v>
      </c>
    </row>
    <row r="44" ht="15.75" customHeight="1">
      <c r="A44" s="12" t="s">
        <v>501</v>
      </c>
      <c r="B44" s="12" t="s">
        <v>502</v>
      </c>
      <c r="C44" s="12" t="s">
        <v>108</v>
      </c>
      <c r="D44" s="12" t="s">
        <v>214</v>
      </c>
      <c r="E44" s="91" t="s">
        <v>48</v>
      </c>
      <c r="F44" s="91">
        <f>COUNTIF('Detalle por mesa'!$D:$D,B44)</f>
        <v>1</v>
      </c>
      <c r="G44" s="91" t="str">
        <f t="shared" si="1"/>
        <v>Cubierto</v>
      </c>
    </row>
    <row r="45" ht="15.75" customHeight="1">
      <c r="A45" s="12" t="s">
        <v>55</v>
      </c>
      <c r="B45" s="12" t="s">
        <v>56</v>
      </c>
      <c r="C45" s="12" t="s">
        <v>57</v>
      </c>
      <c r="D45" s="12" t="s">
        <v>47</v>
      </c>
      <c r="E45" s="91" t="s">
        <v>48</v>
      </c>
      <c r="F45" s="91">
        <f>COUNTIF('Detalle por mesa'!$D:$D,B45)</f>
        <v>15</v>
      </c>
      <c r="G45" s="91" t="str">
        <f t="shared" si="1"/>
        <v>Cubierto</v>
      </c>
    </row>
    <row r="46" ht="15.75" customHeight="1">
      <c r="A46" s="12" t="s">
        <v>70</v>
      </c>
      <c r="B46" s="12" t="s">
        <v>71</v>
      </c>
      <c r="C46" s="12" t="s">
        <v>57</v>
      </c>
      <c r="D46" s="12" t="s">
        <v>72</v>
      </c>
      <c r="E46" s="91" t="s">
        <v>48</v>
      </c>
      <c r="F46" s="91">
        <f>COUNTIF('Detalle por mesa'!$D:$D,B46)</f>
        <v>3</v>
      </c>
      <c r="G46" s="91" t="str">
        <f t="shared" si="1"/>
        <v>Cubierto</v>
      </c>
    </row>
    <row r="47" ht="15.75" customHeight="1">
      <c r="A47" s="12" t="s">
        <v>367</v>
      </c>
      <c r="B47" s="12" t="s">
        <v>368</v>
      </c>
      <c r="C47" s="12" t="s">
        <v>57</v>
      </c>
      <c r="D47" s="12" t="s">
        <v>68</v>
      </c>
      <c r="E47" s="91" t="s">
        <v>48</v>
      </c>
      <c r="F47" s="91">
        <f>COUNTIF('Detalle por mesa'!$D:$D,B47)</f>
        <v>2</v>
      </c>
      <c r="G47" s="91" t="str">
        <f t="shared" si="1"/>
        <v>Cubierto</v>
      </c>
    </row>
    <row r="48" ht="15.75" customHeight="1">
      <c r="A48" s="12" t="s">
        <v>345</v>
      </c>
      <c r="B48" s="12" t="s">
        <v>346</v>
      </c>
      <c r="C48" s="12" t="s">
        <v>57</v>
      </c>
      <c r="D48" s="12" t="s">
        <v>347</v>
      </c>
      <c r="E48" s="91" t="s">
        <v>48</v>
      </c>
      <c r="F48" s="91">
        <f>COUNTIF('Detalle por mesa'!$D:$D,B48)</f>
        <v>4</v>
      </c>
      <c r="G48" s="91" t="str">
        <f t="shared" si="1"/>
        <v>Cubierto</v>
      </c>
    </row>
    <row r="49" ht="15.75" customHeight="1">
      <c r="A49" s="12" t="s">
        <v>253</v>
      </c>
      <c r="B49" s="12" t="s">
        <v>254</v>
      </c>
      <c r="C49" s="12" t="s">
        <v>57</v>
      </c>
      <c r="D49" s="12" t="s">
        <v>72</v>
      </c>
      <c r="E49" s="91" t="s">
        <v>48</v>
      </c>
      <c r="F49" s="91">
        <f>COUNTIF('Detalle por mesa'!$D:$D,B49)</f>
        <v>2</v>
      </c>
      <c r="G49" s="91" t="str">
        <f t="shared" si="1"/>
        <v>Cubierto</v>
      </c>
    </row>
    <row r="50" ht="15.75" customHeight="1">
      <c r="A50" s="12" t="s">
        <v>248</v>
      </c>
      <c r="B50" s="12" t="s">
        <v>249</v>
      </c>
      <c r="C50" s="12" t="s">
        <v>57</v>
      </c>
      <c r="D50" s="12" t="s">
        <v>72</v>
      </c>
      <c r="E50" s="91" t="s">
        <v>48</v>
      </c>
      <c r="F50" s="91">
        <f>COUNTIF('Detalle por mesa'!$D:$D,B50)</f>
        <v>2</v>
      </c>
      <c r="G50" s="91" t="str">
        <f t="shared" si="1"/>
        <v>Cubierto</v>
      </c>
    </row>
    <row r="51" ht="15.75" customHeight="1">
      <c r="A51" s="12" t="s">
        <v>330</v>
      </c>
      <c r="B51" s="12" t="s">
        <v>331</v>
      </c>
      <c r="C51" s="12" t="s">
        <v>57</v>
      </c>
      <c r="D51" s="12" t="s">
        <v>39</v>
      </c>
      <c r="E51" s="91" t="s">
        <v>48</v>
      </c>
      <c r="F51" s="91">
        <f>COUNTIF('Detalle por mesa'!$D:$D,B51)</f>
        <v>2</v>
      </c>
      <c r="G51" s="91" t="str">
        <f t="shared" si="1"/>
        <v>Cubierto</v>
      </c>
    </row>
    <row r="52" ht="15.75" customHeight="1">
      <c r="A52" s="12" t="s">
        <v>405</v>
      </c>
      <c r="B52" s="12" t="s">
        <v>406</v>
      </c>
      <c r="C52" s="12" t="s">
        <v>57</v>
      </c>
      <c r="D52" s="12" t="s">
        <v>68</v>
      </c>
      <c r="E52" s="91" t="s">
        <v>48</v>
      </c>
      <c r="F52" s="91">
        <f>COUNTIF('Detalle por mesa'!$D:$D,B52)</f>
        <v>2</v>
      </c>
      <c r="G52" s="91" t="str">
        <f t="shared" si="1"/>
        <v>Cubierto</v>
      </c>
    </row>
    <row r="53" ht="15.75" customHeight="1">
      <c r="A53" s="12" t="s">
        <v>307</v>
      </c>
      <c r="B53" s="12" t="s">
        <v>308</v>
      </c>
      <c r="C53" s="12" t="s">
        <v>57</v>
      </c>
      <c r="D53" s="12" t="s">
        <v>39</v>
      </c>
      <c r="E53" s="91" t="s">
        <v>48</v>
      </c>
      <c r="F53" s="91">
        <f>COUNTIF('Detalle por mesa'!$D:$D,B53)</f>
        <v>3</v>
      </c>
      <c r="G53" s="91" t="str">
        <f t="shared" si="1"/>
        <v>Cubierto</v>
      </c>
    </row>
    <row r="54" ht="15.75" customHeight="1">
      <c r="A54" s="12" t="s">
        <v>338</v>
      </c>
      <c r="B54" s="12" t="s">
        <v>339</v>
      </c>
      <c r="C54" s="12" t="s">
        <v>57</v>
      </c>
      <c r="D54" s="12" t="s">
        <v>47</v>
      </c>
      <c r="E54" s="91" t="s">
        <v>48</v>
      </c>
      <c r="F54" s="91">
        <f>COUNTIF('Detalle por mesa'!$D:$D,B54)</f>
        <v>2</v>
      </c>
      <c r="G54" s="91" t="str">
        <f t="shared" si="1"/>
        <v>Cubierto</v>
      </c>
    </row>
    <row r="55" ht="15.75" customHeight="1">
      <c r="A55" s="12" t="s">
        <v>381</v>
      </c>
      <c r="B55" s="12" t="s">
        <v>382</v>
      </c>
      <c r="C55" s="12" t="s">
        <v>57</v>
      </c>
      <c r="D55" s="12" t="s">
        <v>47</v>
      </c>
      <c r="E55" s="91" t="s">
        <v>48</v>
      </c>
      <c r="F55" s="91">
        <f>COUNTIF('Detalle por mesa'!$D:$D,B55)</f>
        <v>3</v>
      </c>
      <c r="G55" s="91" t="str">
        <f t="shared" si="1"/>
        <v>Cubierto</v>
      </c>
    </row>
    <row r="56" ht="15.75" customHeight="1">
      <c r="A56" s="12" t="s">
        <v>209</v>
      </c>
      <c r="B56" s="12" t="s">
        <v>210</v>
      </c>
      <c r="C56" s="12" t="s">
        <v>57</v>
      </c>
      <c r="D56" s="12" t="s">
        <v>211</v>
      </c>
      <c r="E56" s="91" t="s">
        <v>48</v>
      </c>
      <c r="F56" s="91">
        <f>COUNTIF('Detalle por mesa'!$D:$D,B56)</f>
        <v>13</v>
      </c>
      <c r="G56" s="91" t="str">
        <f t="shared" si="1"/>
        <v>Cubierto</v>
      </c>
    </row>
    <row r="57" ht="15.75" customHeight="1">
      <c r="A57" s="12" t="s">
        <v>256</v>
      </c>
      <c r="B57" s="12" t="s">
        <v>257</v>
      </c>
      <c r="C57" s="12" t="s">
        <v>57</v>
      </c>
      <c r="D57" s="12" t="s">
        <v>211</v>
      </c>
      <c r="E57" s="91" t="s">
        <v>48</v>
      </c>
      <c r="F57" s="91">
        <f>COUNTIF('Detalle por mesa'!$D:$D,B57)</f>
        <v>7</v>
      </c>
      <c r="G57" s="91" t="str">
        <f t="shared" si="1"/>
        <v>Cubierto</v>
      </c>
    </row>
    <row r="58" ht="15.75" customHeight="1">
      <c r="A58" s="12" t="s">
        <v>364</v>
      </c>
      <c r="B58" s="12" t="s">
        <v>365</v>
      </c>
      <c r="C58" s="12" t="s">
        <v>57</v>
      </c>
      <c r="D58" s="12" t="s">
        <v>68</v>
      </c>
      <c r="E58" s="91" t="s">
        <v>48</v>
      </c>
      <c r="F58" s="91">
        <f>COUNTIF('Detalle por mesa'!$D:$D,B58)</f>
        <v>2</v>
      </c>
      <c r="G58" s="91" t="str">
        <f t="shared" si="1"/>
        <v>Cubierto</v>
      </c>
    </row>
    <row r="59" ht="15.75" customHeight="1">
      <c r="A59" s="12" t="s">
        <v>358</v>
      </c>
      <c r="B59" s="12" t="s">
        <v>359</v>
      </c>
      <c r="C59" s="12" t="s">
        <v>57</v>
      </c>
      <c r="D59" s="12" t="s">
        <v>68</v>
      </c>
      <c r="E59" s="91" t="s">
        <v>48</v>
      </c>
      <c r="F59" s="91">
        <f>COUNTIF('Detalle por mesa'!$D:$D,B59)</f>
        <v>2</v>
      </c>
      <c r="G59" s="91" t="str">
        <f t="shared" si="1"/>
        <v>Cubierto</v>
      </c>
    </row>
    <row r="60" ht="15.75" customHeight="1">
      <c r="A60" s="12" t="s">
        <v>416</v>
      </c>
      <c r="B60" s="12" t="s">
        <v>417</v>
      </c>
      <c r="C60" s="12" t="s">
        <v>396</v>
      </c>
      <c r="D60" s="12" t="s">
        <v>118</v>
      </c>
      <c r="E60" s="91" t="s">
        <v>48</v>
      </c>
      <c r="F60" s="91">
        <f>COUNTIF('Detalle por mesa'!$D:$D,B60)</f>
        <v>3</v>
      </c>
      <c r="G60" s="91" t="str">
        <f t="shared" si="1"/>
        <v>Cubierto</v>
      </c>
    </row>
    <row r="61" ht="15.75" customHeight="1">
      <c r="A61" s="12" t="s">
        <v>394</v>
      </c>
      <c r="B61" s="12" t="s">
        <v>395</v>
      </c>
      <c r="C61" s="12" t="s">
        <v>396</v>
      </c>
      <c r="D61" s="12" t="s">
        <v>138</v>
      </c>
      <c r="E61" s="91" t="s">
        <v>48</v>
      </c>
      <c r="F61" s="91">
        <f>COUNTIF('Detalle por mesa'!$D:$D,B61)</f>
        <v>4</v>
      </c>
      <c r="G61" s="91" t="str">
        <f t="shared" si="1"/>
        <v>Cubierto</v>
      </c>
    </row>
    <row r="62" ht="15.75" customHeight="1">
      <c r="A62" s="12" t="s">
        <v>525</v>
      </c>
      <c r="B62" s="12" t="s">
        <v>526</v>
      </c>
      <c r="C62" s="12" t="s">
        <v>396</v>
      </c>
      <c r="D62" s="12" t="s">
        <v>527</v>
      </c>
      <c r="E62" s="91" t="s">
        <v>48</v>
      </c>
      <c r="F62" s="91">
        <f>COUNTIF('Detalle por mesa'!$D:$D,B62)</f>
        <v>3</v>
      </c>
      <c r="G62" s="91" t="str">
        <f t="shared" si="1"/>
        <v>Cubierto</v>
      </c>
    </row>
    <row r="63" ht="15.75" customHeight="1">
      <c r="A63" s="12" t="s">
        <v>517</v>
      </c>
      <c r="B63" s="12" t="s">
        <v>518</v>
      </c>
      <c r="C63" s="12" t="s">
        <v>396</v>
      </c>
      <c r="D63" s="12" t="s">
        <v>460</v>
      </c>
      <c r="E63" s="91" t="s">
        <v>48</v>
      </c>
      <c r="F63" s="91">
        <f>COUNTIF('Detalle por mesa'!$D:$D,B63)</f>
        <v>2</v>
      </c>
      <c r="G63" s="91" t="str">
        <f t="shared" si="1"/>
        <v>Cubierto</v>
      </c>
    </row>
    <row r="64" ht="15.75" customHeight="1">
      <c r="A64" s="12" t="s">
        <v>553</v>
      </c>
      <c r="B64" s="12" t="s">
        <v>554</v>
      </c>
      <c r="C64" s="12" t="s">
        <v>396</v>
      </c>
      <c r="D64" s="12" t="s">
        <v>335</v>
      </c>
      <c r="E64" s="91" t="s">
        <v>48</v>
      </c>
      <c r="F64" s="91">
        <f>COUNTIF('Detalle por mesa'!$D:$D,B64)</f>
        <v>2</v>
      </c>
      <c r="G64" s="91" t="str">
        <f t="shared" si="1"/>
        <v>Cubierto</v>
      </c>
    </row>
    <row r="65" ht="15.75" customHeight="1">
      <c r="A65" s="12" t="s">
        <v>262</v>
      </c>
      <c r="B65" s="12" t="s">
        <v>263</v>
      </c>
      <c r="C65" s="12" t="s">
        <v>156</v>
      </c>
      <c r="D65" s="12" t="s">
        <v>264</v>
      </c>
      <c r="E65" s="91" t="s">
        <v>40</v>
      </c>
      <c r="F65" s="91">
        <f>COUNTIF('Detalle por mesa'!$D:$D,B65)</f>
        <v>8</v>
      </c>
      <c r="G65" s="91" t="str">
        <f t="shared" si="1"/>
        <v>Cubierto</v>
      </c>
    </row>
    <row r="66" ht="15.75" customHeight="1">
      <c r="A66" s="12" t="s">
        <v>475</v>
      </c>
      <c r="B66" s="12" t="s">
        <v>476</v>
      </c>
      <c r="C66" s="12" t="s">
        <v>156</v>
      </c>
      <c r="D66" s="12" t="s">
        <v>264</v>
      </c>
      <c r="E66" s="91" t="s">
        <v>48</v>
      </c>
      <c r="F66" s="91">
        <f>COUNTIF('Detalle por mesa'!$D:$D,B66)</f>
        <v>1</v>
      </c>
      <c r="G66" s="91" t="str">
        <f t="shared" si="1"/>
        <v>Cubierto</v>
      </c>
    </row>
    <row r="67" ht="15.75" customHeight="1">
      <c r="A67" s="12" t="s">
        <v>471</v>
      </c>
      <c r="B67" s="12" t="s">
        <v>472</v>
      </c>
      <c r="C67" s="12" t="s">
        <v>156</v>
      </c>
      <c r="D67" s="12" t="s">
        <v>264</v>
      </c>
      <c r="E67" s="91" t="s">
        <v>48</v>
      </c>
      <c r="F67" s="91">
        <f>COUNTIF('Detalle por mesa'!$D:$D,B67)</f>
        <v>1</v>
      </c>
      <c r="G67" s="91" t="str">
        <f t="shared" si="1"/>
        <v>Cubierto</v>
      </c>
    </row>
    <row r="68" ht="15.75" customHeight="1">
      <c r="A68" s="12" t="s">
        <v>468</v>
      </c>
      <c r="B68" s="12" t="s">
        <v>469</v>
      </c>
      <c r="C68" s="12" t="s">
        <v>156</v>
      </c>
      <c r="D68" s="12" t="s">
        <v>264</v>
      </c>
      <c r="E68" s="91" t="s">
        <v>48</v>
      </c>
      <c r="F68" s="91">
        <f>COUNTIF('Detalle por mesa'!$D:$D,B68)</f>
        <v>1</v>
      </c>
      <c r="G68" s="91" t="str">
        <f t="shared" si="1"/>
        <v>Cubierto</v>
      </c>
    </row>
    <row r="69" ht="15.75" customHeight="1">
      <c r="A69" s="12" t="s">
        <v>233</v>
      </c>
      <c r="B69" s="12" t="s">
        <v>234</v>
      </c>
      <c r="C69" s="12" t="s">
        <v>156</v>
      </c>
      <c r="D69" s="12" t="s">
        <v>214</v>
      </c>
      <c r="E69" s="91" t="s">
        <v>40</v>
      </c>
      <c r="F69" s="91">
        <f>COUNTIF('Detalle por mesa'!$D:$D,B69)</f>
        <v>9</v>
      </c>
      <c r="G69" s="91" t="str">
        <f t="shared" si="1"/>
        <v>Cubierto</v>
      </c>
    </row>
    <row r="70" ht="15.75" customHeight="1">
      <c r="A70" s="12" t="s">
        <v>154</v>
      </c>
      <c r="B70" s="12" t="s">
        <v>155</v>
      </c>
      <c r="C70" s="12" t="s">
        <v>156</v>
      </c>
      <c r="D70" s="12" t="s">
        <v>68</v>
      </c>
      <c r="E70" s="91" t="s">
        <v>40</v>
      </c>
      <c r="F70" s="91">
        <f>COUNTIF('Detalle por mesa'!$D:$D,B70)</f>
        <v>18</v>
      </c>
      <c r="G70" s="91" t="str">
        <f t="shared" si="1"/>
        <v>Cubierto</v>
      </c>
    </row>
    <row r="71" ht="15.75" customHeight="1">
      <c r="A71" s="12" t="s">
        <v>465</v>
      </c>
      <c r="B71" s="12" t="s">
        <v>466</v>
      </c>
      <c r="C71" s="12" t="s">
        <v>156</v>
      </c>
      <c r="D71" s="12" t="s">
        <v>264</v>
      </c>
      <c r="E71" s="91" t="s">
        <v>48</v>
      </c>
      <c r="F71" s="91">
        <f>COUNTIF('Detalle por mesa'!$D:$D,B71)</f>
        <v>1</v>
      </c>
      <c r="G71" s="91" t="str">
        <f t="shared" si="1"/>
        <v>Cubierto</v>
      </c>
    </row>
    <row r="72" ht="15.75" customHeight="1">
      <c r="A72" s="12" t="s">
        <v>481</v>
      </c>
      <c r="B72" s="12" t="s">
        <v>482</v>
      </c>
      <c r="C72" s="12" t="s">
        <v>156</v>
      </c>
      <c r="D72" s="12" t="s">
        <v>376</v>
      </c>
      <c r="E72" s="91" t="s">
        <v>48</v>
      </c>
      <c r="F72" s="91">
        <f>COUNTIF('Detalle por mesa'!$D:$D,B72)</f>
        <v>3</v>
      </c>
      <c r="G72" s="91" t="str">
        <f t="shared" si="1"/>
        <v>Cubierto</v>
      </c>
    </row>
    <row r="73" ht="15.75" customHeight="1">
      <c r="A73" s="12" t="s">
        <v>545</v>
      </c>
      <c r="B73" s="12" t="s">
        <v>546</v>
      </c>
      <c r="C73" s="12" t="s">
        <v>156</v>
      </c>
      <c r="D73" s="12" t="s">
        <v>335</v>
      </c>
      <c r="E73" s="91" t="s">
        <v>48</v>
      </c>
      <c r="F73" s="91">
        <f>COUNTIF('Detalle por mesa'!$D:$D,B73)</f>
        <v>2</v>
      </c>
      <c r="G73" s="91" t="str">
        <f t="shared" si="1"/>
        <v>Cubierto</v>
      </c>
    </row>
    <row r="74" ht="15.75" customHeight="1">
      <c r="A74" s="12" t="s">
        <v>149</v>
      </c>
      <c r="B74" s="12" t="s">
        <v>150</v>
      </c>
      <c r="C74" s="12" t="s">
        <v>137</v>
      </c>
      <c r="D74" s="12" t="s">
        <v>138</v>
      </c>
      <c r="E74" s="91" t="s">
        <v>48</v>
      </c>
      <c r="F74" s="91">
        <f>COUNTIF('Detalle por mesa'!$D:$D,B74)</f>
        <v>9</v>
      </c>
      <c r="G74" s="91" t="str">
        <f t="shared" si="1"/>
        <v>Cubierto</v>
      </c>
    </row>
    <row r="75" ht="15.75" customHeight="1">
      <c r="A75" s="12" t="s">
        <v>140</v>
      </c>
      <c r="B75" s="12" t="s">
        <v>141</v>
      </c>
      <c r="C75" s="12" t="s">
        <v>137</v>
      </c>
      <c r="D75" s="12" t="s">
        <v>68</v>
      </c>
      <c r="E75" s="91" t="s">
        <v>48</v>
      </c>
      <c r="F75" s="91">
        <f>COUNTIF('Detalle por mesa'!$D:$D,B75)</f>
        <v>8</v>
      </c>
      <c r="G75" s="91" t="str">
        <f t="shared" si="1"/>
        <v>Cubierto</v>
      </c>
    </row>
    <row r="76" ht="15.75" customHeight="1">
      <c r="A76" s="12" t="s">
        <v>370</v>
      </c>
      <c r="B76" s="12" t="s">
        <v>371</v>
      </c>
      <c r="C76" s="12" t="s">
        <v>137</v>
      </c>
      <c r="D76" s="12" t="s">
        <v>372</v>
      </c>
      <c r="E76" s="91" t="s">
        <v>48</v>
      </c>
      <c r="F76" s="91">
        <f>COUNTIF('Detalle por mesa'!$D:$D,B76)</f>
        <v>3</v>
      </c>
      <c r="G76" s="91" t="str">
        <f t="shared" si="1"/>
        <v>Cubierto</v>
      </c>
    </row>
    <row r="77" ht="15.75" customHeight="1">
      <c r="A77" s="12" t="s">
        <v>503</v>
      </c>
      <c r="B77" s="12" t="s">
        <v>504</v>
      </c>
      <c r="C77" s="12" t="s">
        <v>137</v>
      </c>
      <c r="D77" s="12" t="s">
        <v>460</v>
      </c>
      <c r="E77" s="91" t="s">
        <v>48</v>
      </c>
      <c r="F77" s="91">
        <f>COUNTIF('Detalle por mesa'!$D:$D,B77)</f>
        <v>3</v>
      </c>
      <c r="G77" s="91" t="str">
        <f t="shared" si="1"/>
        <v>Cubierto</v>
      </c>
    </row>
    <row r="78" ht="15.75" customHeight="1">
      <c r="A78" s="12" t="s">
        <v>413</v>
      </c>
      <c r="B78" s="12" t="s">
        <v>414</v>
      </c>
      <c r="C78" s="12" t="s">
        <v>137</v>
      </c>
      <c r="D78" s="12" t="s">
        <v>118</v>
      </c>
      <c r="E78" s="91" t="s">
        <v>48</v>
      </c>
      <c r="F78" s="91">
        <f>COUNTIF('Detalle por mesa'!$D:$D,B78)</f>
        <v>3</v>
      </c>
      <c r="G78" s="91" t="str">
        <f t="shared" si="1"/>
        <v>Cubierto</v>
      </c>
    </row>
    <row r="79" ht="15.75" customHeight="1">
      <c r="A79" s="12" t="s">
        <v>333</v>
      </c>
      <c r="B79" s="12" t="s">
        <v>334</v>
      </c>
      <c r="C79" s="12" t="s">
        <v>137</v>
      </c>
      <c r="D79" s="12" t="s">
        <v>335</v>
      </c>
      <c r="E79" s="91" t="s">
        <v>40</v>
      </c>
      <c r="F79" s="91">
        <f>COUNTIF('Detalle por mesa'!$D:$D,B79)</f>
        <v>6</v>
      </c>
      <c r="G79" s="91" t="str">
        <f t="shared" si="1"/>
        <v>Cubierto</v>
      </c>
    </row>
    <row r="80" ht="15.75" customHeight="1">
      <c r="A80" s="12" t="s">
        <v>323</v>
      </c>
      <c r="B80" s="12" t="s">
        <v>324</v>
      </c>
      <c r="C80" s="12" t="s">
        <v>137</v>
      </c>
      <c r="D80" s="12" t="s">
        <v>325</v>
      </c>
      <c r="E80" s="91" t="s">
        <v>48</v>
      </c>
      <c r="F80" s="91">
        <f>COUNTIF('Detalle por mesa'!$D:$D,B80)</f>
        <v>4</v>
      </c>
      <c r="G80" s="91" t="str">
        <f t="shared" si="1"/>
        <v>Cubierto</v>
      </c>
    </row>
    <row r="81" ht="15.75" customHeight="1">
      <c r="A81" s="12" t="s">
        <v>355</v>
      </c>
      <c r="B81" s="12" t="s">
        <v>356</v>
      </c>
      <c r="C81" s="12" t="s">
        <v>137</v>
      </c>
      <c r="D81" s="12" t="s">
        <v>128</v>
      </c>
      <c r="E81" s="91" t="s">
        <v>48</v>
      </c>
      <c r="F81" s="91">
        <f>COUNTIF('Detalle por mesa'!$D:$D,B81)</f>
        <v>3</v>
      </c>
      <c r="G81" s="91" t="str">
        <f t="shared" si="1"/>
        <v>Cubierto</v>
      </c>
    </row>
    <row r="82" ht="15.75" customHeight="1">
      <c r="A82" s="12" t="s">
        <v>384</v>
      </c>
      <c r="B82" s="12" t="s">
        <v>385</v>
      </c>
      <c r="C82" s="12" t="s">
        <v>137</v>
      </c>
      <c r="D82" s="12" t="s">
        <v>386</v>
      </c>
      <c r="E82" s="91" t="s">
        <v>48</v>
      </c>
      <c r="F82" s="91">
        <f>COUNTIF('Detalle por mesa'!$D:$D,B82)</f>
        <v>4</v>
      </c>
      <c r="G82" s="91" t="str">
        <f t="shared" si="1"/>
        <v>Cubierto</v>
      </c>
    </row>
    <row r="83" ht="15.75" customHeight="1">
      <c r="A83" s="12" t="s">
        <v>522</v>
      </c>
      <c r="B83" s="12" t="s">
        <v>523</v>
      </c>
      <c r="C83" s="12" t="s">
        <v>137</v>
      </c>
      <c r="D83" s="12" t="s">
        <v>190</v>
      </c>
      <c r="E83" s="91" t="s">
        <v>48</v>
      </c>
      <c r="F83" s="91">
        <f>COUNTIF('Detalle por mesa'!$D:$D,B83)</f>
        <v>1</v>
      </c>
      <c r="G83" s="91" t="str">
        <f t="shared" si="1"/>
        <v>Cubierto</v>
      </c>
    </row>
    <row r="84" ht="15.75" customHeight="1">
      <c r="A84" s="12" t="s">
        <v>492</v>
      </c>
      <c r="B84" s="12" t="s">
        <v>499</v>
      </c>
      <c r="C84" s="12" t="s">
        <v>137</v>
      </c>
      <c r="D84" s="12" t="s">
        <v>214</v>
      </c>
      <c r="E84" s="91" t="s">
        <v>40</v>
      </c>
      <c r="F84" s="91">
        <f>COUNTIF('Detalle por mesa'!$D:$D,B84)</f>
        <v>1</v>
      </c>
      <c r="G84" s="91" t="str">
        <f t="shared" si="1"/>
        <v>Cubierto</v>
      </c>
    </row>
    <row r="85" ht="15.75" customHeight="1">
      <c r="A85" s="12" t="s">
        <v>548</v>
      </c>
      <c r="B85" s="12" t="s">
        <v>549</v>
      </c>
      <c r="C85" s="12" t="s">
        <v>137</v>
      </c>
      <c r="D85" s="12" t="s">
        <v>335</v>
      </c>
      <c r="E85" s="91" t="s">
        <v>48</v>
      </c>
      <c r="F85" s="91">
        <f>COUNTIF('Detalle por mesa'!$D:$D,B85)</f>
        <v>1</v>
      </c>
      <c r="G85" s="91" t="str">
        <f t="shared" si="1"/>
        <v>Cubierto</v>
      </c>
    </row>
    <row r="86" ht="15.75" customHeight="1">
      <c r="A86" s="12" t="s">
        <v>537</v>
      </c>
      <c r="B86" s="12" t="s">
        <v>538</v>
      </c>
      <c r="C86" s="12" t="s">
        <v>137</v>
      </c>
      <c r="D86" s="12" t="s">
        <v>335</v>
      </c>
      <c r="E86" s="91" t="s">
        <v>48</v>
      </c>
      <c r="F86" s="91">
        <f>COUNTIF('Detalle por mesa'!$D:$D,B86)</f>
        <v>1</v>
      </c>
      <c r="G86" s="91" t="str">
        <f t="shared" si="1"/>
        <v>Cubierto</v>
      </c>
    </row>
    <row r="87" ht="15.75" customHeight="1">
      <c r="A87" s="12" t="s">
        <v>374</v>
      </c>
      <c r="B87" s="12" t="s">
        <v>375</v>
      </c>
      <c r="C87" s="12" t="s">
        <v>137</v>
      </c>
      <c r="D87" s="12" t="s">
        <v>376</v>
      </c>
      <c r="E87" s="91" t="s">
        <v>48</v>
      </c>
      <c r="F87" s="91">
        <f>COUNTIF('Detalle por mesa'!$D:$D,B87)</f>
        <v>3</v>
      </c>
      <c r="G87" s="91" t="str">
        <f t="shared" si="1"/>
        <v>Cubierto</v>
      </c>
    </row>
    <row r="88" ht="15.75" customHeight="1">
      <c r="A88" s="12" t="s">
        <v>135</v>
      </c>
      <c r="B88" s="12" t="s">
        <v>136</v>
      </c>
      <c r="C88" s="12" t="s">
        <v>137</v>
      </c>
      <c r="D88" s="12" t="s">
        <v>138</v>
      </c>
      <c r="E88" s="91" t="s">
        <v>48</v>
      </c>
      <c r="F88" s="91">
        <f>COUNTIF('Detalle por mesa'!$D:$D,B88)</f>
        <v>7</v>
      </c>
      <c r="G88" s="91" t="str">
        <f t="shared" si="1"/>
        <v>Cubierto</v>
      </c>
    </row>
    <row r="89" ht="15.75" customHeight="1">
      <c r="A89" s="12" t="s">
        <v>259</v>
      </c>
      <c r="B89" s="12" t="s">
        <v>260</v>
      </c>
      <c r="C89" s="12" t="s">
        <v>137</v>
      </c>
      <c r="D89" s="12" t="s">
        <v>229</v>
      </c>
      <c r="E89" s="91" t="s">
        <v>38</v>
      </c>
      <c r="F89" s="91">
        <f>COUNTIF('Detalle por mesa'!$D:$D,B89)</f>
        <v>6</v>
      </c>
      <c r="G89" s="91" t="str">
        <f t="shared" si="1"/>
        <v>Cubierto</v>
      </c>
    </row>
    <row r="90" ht="15.75" customHeight="1">
      <c r="A90" s="12" t="s">
        <v>398</v>
      </c>
      <c r="B90" s="12" t="s">
        <v>399</v>
      </c>
      <c r="C90" s="12" t="s">
        <v>137</v>
      </c>
      <c r="D90" s="12" t="s">
        <v>400</v>
      </c>
      <c r="E90" s="91" t="s">
        <v>38</v>
      </c>
      <c r="F90" s="91">
        <f>COUNTIF('Detalle por mesa'!$D:$D,B90)</f>
        <v>3</v>
      </c>
      <c r="G90" s="91" t="str">
        <f t="shared" si="1"/>
        <v>Cubierto</v>
      </c>
    </row>
    <row r="91" ht="15.75" customHeight="1">
      <c r="A91" s="12" t="s">
        <v>145</v>
      </c>
      <c r="B91" s="12" t="s">
        <v>146</v>
      </c>
      <c r="C91" s="12" t="s">
        <v>137</v>
      </c>
      <c r="D91" s="12" t="s">
        <v>138</v>
      </c>
      <c r="E91" s="91" t="s">
        <v>48</v>
      </c>
      <c r="F91" s="91">
        <f>COUNTIF('Detalle por mesa'!$D:$D,B91)</f>
        <v>5</v>
      </c>
      <c r="G91" s="91" t="str">
        <f t="shared" si="1"/>
        <v>Cubierto</v>
      </c>
    </row>
    <row r="92" ht="15.75" customHeight="1">
      <c r="A92" s="12" t="s">
        <v>542</v>
      </c>
      <c r="B92" s="12" t="s">
        <v>543</v>
      </c>
      <c r="C92" s="12" t="s">
        <v>532</v>
      </c>
      <c r="D92" s="12" t="s">
        <v>138</v>
      </c>
      <c r="E92" s="91" t="s">
        <v>48</v>
      </c>
      <c r="F92" s="91">
        <f>COUNTIF('Detalle por mesa'!$D:$D,B92)</f>
        <v>1</v>
      </c>
      <c r="G92" s="91" t="str">
        <f t="shared" si="1"/>
        <v>Cubierto</v>
      </c>
    </row>
    <row r="93" ht="15.75" customHeight="1">
      <c r="A93" s="12" t="s">
        <v>530</v>
      </c>
      <c r="B93" s="12" t="s">
        <v>531</v>
      </c>
      <c r="C93" s="12" t="s">
        <v>532</v>
      </c>
      <c r="D93" s="12" t="s">
        <v>138</v>
      </c>
      <c r="E93" s="91" t="s">
        <v>48</v>
      </c>
      <c r="F93" s="91">
        <f>COUNTIF('Detalle por mesa'!$D:$D,B93)</f>
        <v>1</v>
      </c>
      <c r="G93" s="91" t="str">
        <f t="shared" si="1"/>
        <v>Cubierto</v>
      </c>
    </row>
    <row r="94" ht="15.75" customHeight="1">
      <c r="A94" s="12" t="s">
        <v>551</v>
      </c>
      <c r="B94" s="12" t="s">
        <v>552</v>
      </c>
      <c r="C94" s="12" t="s">
        <v>532</v>
      </c>
      <c r="D94" s="12" t="s">
        <v>138</v>
      </c>
      <c r="E94" s="91" t="s">
        <v>48</v>
      </c>
      <c r="F94" s="91">
        <f>COUNTIF('Detalle por mesa'!$D:$D,B94)</f>
        <v>1</v>
      </c>
      <c r="G94" s="91" t="str">
        <f t="shared" si="1"/>
        <v>Cubierto</v>
      </c>
    </row>
    <row r="95" ht="15.75" customHeight="1">
      <c r="A95" s="12" t="s">
        <v>540</v>
      </c>
      <c r="B95" s="12" t="s">
        <v>541</v>
      </c>
      <c r="C95" s="12" t="s">
        <v>532</v>
      </c>
      <c r="D95" s="12" t="s">
        <v>138</v>
      </c>
      <c r="E95" s="91" t="s">
        <v>48</v>
      </c>
      <c r="F95" s="91">
        <f>COUNTIF('Detalle por mesa'!$D:$D,B95)</f>
        <v>1</v>
      </c>
      <c r="G95" s="91" t="str">
        <f t="shared" si="1"/>
        <v>Cubierto</v>
      </c>
    </row>
    <row r="96" ht="15.75" customHeight="1">
      <c r="A96" s="12" t="s">
        <v>520</v>
      </c>
      <c r="B96" s="12" t="s">
        <v>521</v>
      </c>
      <c r="C96" s="12" t="s">
        <v>62</v>
      </c>
      <c r="D96" s="12" t="s">
        <v>190</v>
      </c>
      <c r="E96" s="91" t="s">
        <v>48</v>
      </c>
      <c r="F96" s="91">
        <f>COUNTIF('Detalle por mesa'!$D:$D,B96)</f>
        <v>1</v>
      </c>
      <c r="G96" s="91" t="str">
        <f t="shared" si="1"/>
        <v>Cubierto</v>
      </c>
    </row>
    <row r="97" ht="15.75" customHeight="1">
      <c r="A97" s="12" t="s">
        <v>119</v>
      </c>
      <c r="B97" s="12" t="s">
        <v>120</v>
      </c>
      <c r="C97" s="12" t="s">
        <v>62</v>
      </c>
      <c r="D97" s="12" t="s">
        <v>121</v>
      </c>
      <c r="E97" s="91" t="s">
        <v>48</v>
      </c>
      <c r="F97" s="91">
        <f>COUNTIF('Detalle por mesa'!$D:$D,B97)</f>
        <v>4</v>
      </c>
      <c r="G97" s="91" t="str">
        <f t="shared" si="1"/>
        <v>Cubierto</v>
      </c>
    </row>
    <row r="98" ht="15.75" customHeight="1">
      <c r="A98" s="12" t="s">
        <v>60</v>
      </c>
      <c r="B98" s="12" t="s">
        <v>61</v>
      </c>
      <c r="C98" s="12" t="s">
        <v>62</v>
      </c>
      <c r="D98" s="12" t="s">
        <v>64</v>
      </c>
      <c r="E98" s="91" t="s">
        <v>48</v>
      </c>
      <c r="F98" s="91">
        <f>COUNTIF('Detalle por mesa'!$D:$D,B98)</f>
        <v>4</v>
      </c>
      <c r="G98" s="91" t="str">
        <f t="shared" si="1"/>
        <v>Cubierto</v>
      </c>
    </row>
    <row r="99" ht="15.75" customHeight="1">
      <c r="A99" s="12" t="s">
        <v>172</v>
      </c>
      <c r="B99" s="12" t="s">
        <v>173</v>
      </c>
      <c r="C99" s="12" t="s">
        <v>62</v>
      </c>
      <c r="D99" s="12" t="s">
        <v>64</v>
      </c>
      <c r="E99" s="91" t="s">
        <v>48</v>
      </c>
      <c r="F99" s="91">
        <f>COUNTIF('Detalle por mesa'!$D:$D,B99)</f>
        <v>4</v>
      </c>
      <c r="G99" s="91" t="str">
        <f t="shared" si="1"/>
        <v>Cubierto</v>
      </c>
    </row>
    <row r="100" ht="15.75" customHeight="1">
      <c r="A100" s="12" t="s">
        <v>123</v>
      </c>
      <c r="B100" s="12" t="s">
        <v>125</v>
      </c>
      <c r="C100" s="12" t="s">
        <v>62</v>
      </c>
      <c r="D100" s="12" t="s">
        <v>128</v>
      </c>
      <c r="E100" s="91" t="s">
        <v>48</v>
      </c>
      <c r="F100" s="91">
        <f>COUNTIF('Detalle por mesa'!$D:$D,B100)</f>
        <v>4</v>
      </c>
      <c r="G100" s="91" t="str">
        <f t="shared" si="1"/>
        <v>Cubierto</v>
      </c>
    </row>
    <row r="101" ht="15.75" customHeight="1">
      <c r="A101" s="12" t="s">
        <v>188</v>
      </c>
      <c r="B101" s="12" t="s">
        <v>189</v>
      </c>
      <c r="C101" s="12" t="s">
        <v>62</v>
      </c>
      <c r="D101" s="12" t="s">
        <v>190</v>
      </c>
      <c r="E101" s="91" t="s">
        <v>48</v>
      </c>
      <c r="F101" s="91">
        <f>COUNTIF('Detalle por mesa'!$D:$D,B101)</f>
        <v>2</v>
      </c>
      <c r="G101" s="91" t="str">
        <f t="shared" si="1"/>
        <v>Cubierto</v>
      </c>
    </row>
    <row r="102" ht="15.75" customHeight="1">
      <c r="A102" s="12" t="s">
        <v>192</v>
      </c>
      <c r="B102" s="12" t="s">
        <v>193</v>
      </c>
      <c r="C102" s="12" t="s">
        <v>62</v>
      </c>
      <c r="D102" s="12" t="s">
        <v>190</v>
      </c>
      <c r="E102" s="91" t="s">
        <v>48</v>
      </c>
      <c r="F102" s="91">
        <f>COUNTIF('Detalle por mesa'!$D:$D,B102)</f>
        <v>2</v>
      </c>
      <c r="G102" s="91" t="str">
        <f t="shared" si="1"/>
        <v>Cubierto</v>
      </c>
    </row>
    <row r="103" ht="15.75" customHeight="1">
      <c r="A103" s="12" t="s">
        <v>66</v>
      </c>
      <c r="B103" s="12" t="s">
        <v>67</v>
      </c>
      <c r="C103" s="12" t="s">
        <v>62</v>
      </c>
      <c r="D103" s="12" t="s">
        <v>68</v>
      </c>
      <c r="E103" s="91" t="s">
        <v>48</v>
      </c>
      <c r="F103" s="91">
        <f>COUNTIF('Detalle por mesa'!$D:$D,B103)</f>
        <v>2</v>
      </c>
      <c r="G103" s="91" t="str">
        <f t="shared" si="1"/>
        <v>Cubierto</v>
      </c>
    </row>
    <row r="104" ht="15.75" customHeight="1">
      <c r="A104" s="12" t="s">
        <v>320</v>
      </c>
      <c r="B104" s="12" t="s">
        <v>321</v>
      </c>
      <c r="C104" s="12" t="s">
        <v>205</v>
      </c>
      <c r="D104" s="12" t="s">
        <v>68</v>
      </c>
      <c r="E104" s="91" t="s">
        <v>48</v>
      </c>
      <c r="F104" s="91">
        <f>COUNTIF('Detalle por mesa'!$D:$D,B104)</f>
        <v>2</v>
      </c>
      <c r="G104" s="91" t="str">
        <f t="shared" si="1"/>
        <v>Cubierto</v>
      </c>
    </row>
    <row r="105" ht="15.75" customHeight="1">
      <c r="A105" s="12" t="s">
        <v>378</v>
      </c>
      <c r="B105" s="12" t="s">
        <v>379</v>
      </c>
      <c r="C105" s="12" t="s">
        <v>205</v>
      </c>
      <c r="D105" s="12" t="s">
        <v>138</v>
      </c>
      <c r="E105" s="91" t="s">
        <v>48</v>
      </c>
      <c r="F105" s="91">
        <f>COUNTIF('Detalle por mesa'!$D:$D,B105)</f>
        <v>3</v>
      </c>
      <c r="G105" s="91" t="str">
        <f t="shared" si="1"/>
        <v>Cubierto</v>
      </c>
    </row>
    <row r="106" ht="15.75" customHeight="1">
      <c r="A106" s="12" t="s">
        <v>409</v>
      </c>
      <c r="B106" s="12" t="s">
        <v>410</v>
      </c>
      <c r="C106" s="12" t="s">
        <v>205</v>
      </c>
      <c r="D106" s="12" t="s">
        <v>68</v>
      </c>
      <c r="E106" s="91" t="s">
        <v>48</v>
      </c>
      <c r="F106" s="91">
        <f>COUNTIF('Detalle por mesa'!$D:$D,B106)</f>
        <v>2</v>
      </c>
      <c r="G106" s="91" t="str">
        <f t="shared" si="1"/>
        <v>Cubierto</v>
      </c>
    </row>
    <row r="107" ht="15.75" customHeight="1">
      <c r="A107" s="12" t="s">
        <v>361</v>
      </c>
      <c r="B107" s="12" t="s">
        <v>362</v>
      </c>
      <c r="C107" s="12" t="s">
        <v>205</v>
      </c>
      <c r="D107" s="12" t="s">
        <v>68</v>
      </c>
      <c r="E107" s="91" t="s">
        <v>48</v>
      </c>
      <c r="F107" s="91">
        <f>COUNTIF('Detalle por mesa'!$D:$D,B107)</f>
        <v>3</v>
      </c>
      <c r="G107" s="91" t="str">
        <f t="shared" si="1"/>
        <v>Cubierto</v>
      </c>
    </row>
    <row r="108" ht="15.75" customHeight="1">
      <c r="A108" s="12" t="s">
        <v>342</v>
      </c>
      <c r="B108" s="12" t="s">
        <v>343</v>
      </c>
      <c r="C108" s="12" t="s">
        <v>205</v>
      </c>
      <c r="D108" s="12" t="s">
        <v>39</v>
      </c>
      <c r="E108" s="91" t="s">
        <v>48</v>
      </c>
      <c r="F108" s="91">
        <f>COUNTIF('Detalle por mesa'!$D:$D,B108)</f>
        <v>4</v>
      </c>
      <c r="G108" s="91" t="str">
        <f t="shared" si="1"/>
        <v>Cubierto</v>
      </c>
    </row>
    <row r="109" ht="15.75" customHeight="1">
      <c r="A109" s="12" t="s">
        <v>349</v>
      </c>
      <c r="B109" s="12" t="s">
        <v>350</v>
      </c>
      <c r="C109" s="12" t="s">
        <v>205</v>
      </c>
      <c r="D109" s="12" t="s">
        <v>72</v>
      </c>
      <c r="E109" s="91" t="s">
        <v>48</v>
      </c>
      <c r="F109" s="91">
        <f>COUNTIF('Detalle por mesa'!$D:$D,B109)</f>
        <v>3</v>
      </c>
      <c r="G109" s="91" t="str">
        <f t="shared" si="1"/>
        <v>Cubierto</v>
      </c>
    </row>
    <row r="110" ht="15.75" customHeight="1">
      <c r="A110" s="12" t="s">
        <v>203</v>
      </c>
      <c r="B110" s="12" t="s">
        <v>204</v>
      </c>
      <c r="C110" s="12" t="s">
        <v>205</v>
      </c>
      <c r="D110" s="12" t="s">
        <v>206</v>
      </c>
      <c r="E110" s="91" t="s">
        <v>48</v>
      </c>
      <c r="F110" s="91">
        <f>COUNTIF('Detalle por mesa'!$D:$D,B110)</f>
        <v>14</v>
      </c>
      <c r="G110" s="91" t="str">
        <f t="shared" si="1"/>
        <v>Cubierto</v>
      </c>
    </row>
    <row r="111" ht="15.75" customHeight="1"/>
    <row r="112" ht="15.75" customHeight="1">
      <c r="B112" s="104" t="s">
        <v>605</v>
      </c>
      <c r="F112" s="104">
        <f>COUNTA(B2:B110)</f>
        <v>109</v>
      </c>
    </row>
    <row r="113" ht="15.75" customHeight="1">
      <c r="B113" s="104" t="s">
        <v>606</v>
      </c>
      <c r="F113" s="104">
        <f>COUNTIF(G2:G110,"Sin mesa")</f>
        <v>0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0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6" width="8.71"/>
  </cols>
  <sheetData>
    <row r="1" ht="14.25" customHeight="1">
      <c r="A1" s="101" t="s">
        <v>568</v>
      </c>
    </row>
    <row r="2" ht="14.25" customHeight="1">
      <c r="A2" s="102"/>
    </row>
    <row r="3" ht="14.25" customHeight="1">
      <c r="A3" s="101" t="s">
        <v>569</v>
      </c>
    </row>
    <row r="4" ht="39.0" customHeight="1">
      <c r="A4" s="102" t="s">
        <v>570</v>
      </c>
    </row>
    <row r="5" ht="25.5" customHeight="1">
      <c r="A5" s="102" t="s">
        <v>571</v>
      </c>
    </row>
    <row r="6" ht="14.25" customHeight="1">
      <c r="A6" s="102"/>
    </row>
    <row r="7" ht="14.25" customHeight="1">
      <c r="A7" s="101" t="s">
        <v>572</v>
      </c>
    </row>
    <row r="8" ht="25.5" customHeight="1">
      <c r="A8" s="102" t="s">
        <v>573</v>
      </c>
    </row>
    <row r="9" ht="25.5" customHeight="1">
      <c r="A9" s="102" t="s">
        <v>574</v>
      </c>
    </row>
    <row r="10" ht="14.25" customHeight="1">
      <c r="A10" s="102"/>
    </row>
    <row r="11" ht="14.25" customHeight="1">
      <c r="A11" s="101" t="s">
        <v>575</v>
      </c>
    </row>
    <row r="12" ht="51.75" customHeight="1">
      <c r="A12" s="102" t="s">
        <v>576</v>
      </c>
    </row>
    <row r="13" ht="25.5" customHeight="1">
      <c r="A13" s="102" t="s">
        <v>577</v>
      </c>
    </row>
    <row r="14" ht="51.75" customHeight="1">
      <c r="A14" s="102" t="s">
        <v>578</v>
      </c>
    </row>
    <row r="15" ht="51.75" customHeight="1">
      <c r="A15" s="102" t="s">
        <v>579</v>
      </c>
    </row>
    <row r="16" ht="39.0" customHeight="1">
      <c r="A16" s="102" t="s">
        <v>581</v>
      </c>
    </row>
    <row r="17" ht="25.5" customHeight="1">
      <c r="A17" s="102" t="s">
        <v>582</v>
      </c>
    </row>
    <row r="18" ht="14.25" customHeight="1">
      <c r="A18" s="102"/>
    </row>
    <row r="19" ht="14.25" customHeight="1">
      <c r="A19" s="101" t="s">
        <v>583</v>
      </c>
    </row>
    <row r="20" ht="25.5" customHeight="1">
      <c r="A20" s="102" t="s">
        <v>584</v>
      </c>
    </row>
    <row r="21" ht="25.5" customHeight="1">
      <c r="A21" s="102" t="s">
        <v>585</v>
      </c>
    </row>
    <row r="22" ht="25.5" customHeight="1">
      <c r="A22" s="102" t="s">
        <v>586</v>
      </c>
    </row>
    <row r="23" ht="25.5" customHeight="1">
      <c r="A23" s="102" t="s">
        <v>587</v>
      </c>
    </row>
    <row r="24" ht="25.5" customHeight="1">
      <c r="A24" s="102" t="s">
        <v>588</v>
      </c>
    </row>
    <row r="25" ht="25.5" customHeight="1">
      <c r="A25" s="102" t="s">
        <v>589</v>
      </c>
    </row>
    <row r="26" ht="15.75" customHeight="1">
      <c r="A26" s="102"/>
    </row>
    <row r="27" ht="15.75" customHeight="1">
      <c r="A27" s="101" t="s">
        <v>590</v>
      </c>
    </row>
    <row r="28" ht="51.75" customHeight="1">
      <c r="A28" s="102" t="s">
        <v>591</v>
      </c>
    </row>
    <row r="29" ht="51.75" customHeight="1">
      <c r="A29" s="102" t="s">
        <v>592</v>
      </c>
    </row>
    <row r="30" ht="51.75" customHeight="1">
      <c r="A30" s="102" t="s">
        <v>593</v>
      </c>
    </row>
    <row r="31" ht="51.75" customHeight="1">
      <c r="A31" s="102" t="s">
        <v>594</v>
      </c>
    </row>
    <row r="32" ht="15.75" customHeight="1"/>
    <row r="33" ht="15.75" customHeight="1">
      <c r="A33" s="101" t="s">
        <v>595</v>
      </c>
    </row>
    <row r="34" ht="15.75" customHeight="1">
      <c r="A34" s="102" t="s">
        <v>596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